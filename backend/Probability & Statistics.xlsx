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<sst xmlns="http://schemas.openxmlformats.org/spreadsheetml/2006/main" count="366" uniqueCount="172">
  <si>
    <t>Department of Mathematics</t>
  </si>
  <si>
    <t>U23MA206 - Probability and Statistics</t>
  </si>
  <si>
    <t>Faculty Name : Dr. M. Tamilarasi</t>
  </si>
  <si>
    <t>Class : II AIML A</t>
  </si>
  <si>
    <r>
      <rPr>
        <b/>
        <u/>
        <sz val="10"/>
        <color rgb="FF1155CC"/>
        <rFont val="Times New Roman"/>
        <charset val="134"/>
      </rPr>
      <t>S.No</t>
    </r>
    <r>
      <rPr>
        <b/>
        <u/>
        <sz val="10"/>
        <color rgb="FF1155CC"/>
        <rFont val="Times New Roman"/>
        <charset val="134"/>
      </rPr>
      <t>.</t>
    </r>
  </si>
  <si>
    <t>Roll No.</t>
  </si>
  <si>
    <t>NAME OF THE STUDENT</t>
  </si>
  <si>
    <t>30.03.2026 session - 1
(1st hour)</t>
  </si>
  <si>
    <t>30.03.2026 session - 2 
(3rd hour)</t>
  </si>
  <si>
    <t>02.04.2026 session - 3 
(5th hour)</t>
  </si>
  <si>
    <t>CIA - 1 (60)</t>
  </si>
  <si>
    <t>CO1 (40)</t>
  </si>
  <si>
    <t>CO2 (20)</t>
  </si>
  <si>
    <t>CIA - 1 (75)</t>
  </si>
  <si>
    <t>CIA - 1 (25)</t>
  </si>
  <si>
    <t>CIA - 1 (100)</t>
  </si>
  <si>
    <t>CIA - 1 (8)</t>
  </si>
  <si>
    <t>CIA - 2 (60)</t>
  </si>
  <si>
    <t>CO3 (40)</t>
  </si>
  <si>
    <t>CO2 (40)</t>
  </si>
  <si>
    <t>CIA - 2 (100)</t>
  </si>
  <si>
    <t>CIA - 2 (75)</t>
  </si>
  <si>
    <t>CIA - 2 (25)</t>
  </si>
  <si>
    <t>CIA - 2 (8)</t>
  </si>
  <si>
    <t>CIA -3 (80)</t>
  </si>
  <si>
    <t>CO4 (40)</t>
  </si>
  <si>
    <t>CO5 (40)</t>
  </si>
  <si>
    <t>CIA - 3 (8)</t>
  </si>
  <si>
    <t>CIA - 3 (75)</t>
  </si>
  <si>
    <t>CIA - 3 (25)</t>
  </si>
  <si>
    <t>CIA - 3 (100)</t>
  </si>
  <si>
    <t>QUIZ (60)</t>
  </si>
  <si>
    <t>QUIZ (100)</t>
  </si>
  <si>
    <t>QUIZ (6)</t>
  </si>
  <si>
    <t>ASSIGN (100)</t>
  </si>
  <si>
    <t>ASSIGN (5)</t>
  </si>
  <si>
    <t>TERM WORK (100)</t>
  </si>
  <si>
    <t>TERM WORK  (5)</t>
  </si>
  <si>
    <t>CIA (8+8+8 = 24)</t>
  </si>
  <si>
    <t>INTERNAL (40)</t>
  </si>
  <si>
    <t>24AM001</t>
  </si>
  <si>
    <t>G S ABINIVAS</t>
  </si>
  <si>
    <t>P</t>
  </si>
  <si>
    <t>A</t>
  </si>
  <si>
    <t>24AM002</t>
  </si>
  <si>
    <t>V C ADITH</t>
  </si>
  <si>
    <t>24AM003</t>
  </si>
  <si>
    <t>M K AJAYSHASTHIVEL</t>
  </si>
  <si>
    <t>24AM004</t>
  </si>
  <si>
    <t>AKASH B</t>
  </si>
  <si>
    <t>24AM005</t>
  </si>
  <si>
    <t>AKHILESH M P</t>
  </si>
  <si>
    <t>24AM006</t>
  </si>
  <si>
    <t>AKSHATHA J</t>
  </si>
  <si>
    <t>24AM007</t>
  </si>
  <si>
    <t>AMIRTHAVARSHINI S</t>
  </si>
  <si>
    <t>24AM008</t>
  </si>
  <si>
    <t>ARULSELVI P</t>
  </si>
  <si>
    <t>24AM009</t>
  </si>
  <si>
    <t>ASHWITA S</t>
  </si>
  <si>
    <t>24AM010</t>
  </si>
  <si>
    <t>BALAGUGAN S</t>
  </si>
  <si>
    <t>24AM011</t>
  </si>
  <si>
    <t>BARATHPRIYAN R</t>
  </si>
  <si>
    <t>24AM012</t>
  </si>
  <si>
    <t>DEEPA SAHANA G</t>
  </si>
  <si>
    <t>24AM013</t>
  </si>
  <si>
    <t>DEEPAK P</t>
  </si>
  <si>
    <t>24AM014</t>
  </si>
  <si>
    <t>DEEPAK R</t>
  </si>
  <si>
    <t>24AM015</t>
  </si>
  <si>
    <t>DEEPIKA D</t>
  </si>
  <si>
    <t>24AM016</t>
  </si>
  <si>
    <t>DEVIPRIYA K</t>
  </si>
  <si>
    <t>24AM017</t>
  </si>
  <si>
    <t>DHAARANI M</t>
  </si>
  <si>
    <t>24AM018</t>
  </si>
  <si>
    <t>DHAKSHATHA S</t>
  </si>
  <si>
    <t>24AM019</t>
  </si>
  <si>
    <t>DHARANISH R P</t>
  </si>
  <si>
    <t>24AM020</t>
  </si>
  <si>
    <t>DHARSAN S</t>
  </si>
  <si>
    <t>24AM021</t>
  </si>
  <si>
    <t>DHARUNKUMAR S</t>
  </si>
  <si>
    <t>24AM022</t>
  </si>
  <si>
    <t>DIVYANANDH A S</t>
  </si>
  <si>
    <t>24AM023</t>
  </si>
  <si>
    <t>EETHAMUKKALA RAMADAS PAVAN</t>
  </si>
  <si>
    <t>24AM024</t>
  </si>
  <si>
    <t>ENOCH JASON J</t>
  </si>
  <si>
    <t>24AM025</t>
  </si>
  <si>
    <t>FAZMINA S</t>
  </si>
  <si>
    <t>24AM026</t>
  </si>
  <si>
    <t>GOKUL M</t>
  </si>
  <si>
    <t>24AM027</t>
  </si>
  <si>
    <t>GOKULANAND M</t>
  </si>
  <si>
    <t>24AM028</t>
  </si>
  <si>
    <t>GOKULAVASAN B</t>
  </si>
  <si>
    <t>24AM029</t>
  </si>
  <si>
    <t>HARIHARAN A</t>
  </si>
  <si>
    <t>24AM030</t>
  </si>
  <si>
    <t>HARIHARAN R</t>
  </si>
  <si>
    <t>24AM031</t>
  </si>
  <si>
    <t>HARIHARAN V S</t>
  </si>
  <si>
    <t>24AM032</t>
  </si>
  <si>
    <t>HARINI D</t>
  </si>
  <si>
    <t>24AM033</t>
  </si>
  <si>
    <t>HARISH K</t>
  </si>
  <si>
    <t>24AM034</t>
  </si>
  <si>
    <t>INDHUJA V</t>
  </si>
  <si>
    <t>24AM035</t>
  </si>
  <si>
    <t>JANANI M</t>
  </si>
  <si>
    <t>24AM036</t>
  </si>
  <si>
    <t>JANANISHREE G</t>
  </si>
  <si>
    <t>24AM037</t>
  </si>
  <si>
    <t>JANAVI MIRUNDHA S A</t>
  </si>
  <si>
    <t>24AM038</t>
  </si>
  <si>
    <t>JAYASHREE M</t>
  </si>
  <si>
    <t>24AM039</t>
  </si>
  <si>
    <t>JOTHINI V</t>
  </si>
  <si>
    <t>24AM040</t>
  </si>
  <si>
    <t>JOVIA A J</t>
  </si>
  <si>
    <t>24AM041</t>
  </si>
  <si>
    <t>KAMALASHRINITHI P</t>
  </si>
  <si>
    <t>24AM042</t>
  </si>
  <si>
    <t>KANIMOZHI R</t>
  </si>
  <si>
    <t>24AM043</t>
  </si>
  <si>
    <t>KANISHKAR B</t>
  </si>
  <si>
    <t>24AM044</t>
  </si>
  <si>
    <t>KARTHICK RAJA T M</t>
  </si>
  <si>
    <t>24AM045</t>
  </si>
  <si>
    <t>KARTHIKBALAJI S V</t>
  </si>
  <si>
    <t>24AM046</t>
  </si>
  <si>
    <t>KAVINDRA E M</t>
  </si>
  <si>
    <t>24AM047</t>
  </si>
  <si>
    <t>KEERTHIKUMAR K</t>
  </si>
  <si>
    <t>24AM048</t>
  </si>
  <si>
    <t>KIRIT P S</t>
  </si>
  <si>
    <t>24AM049</t>
  </si>
  <si>
    <t>KISHORE V R</t>
  </si>
  <si>
    <t>24AM050</t>
  </si>
  <si>
    <t>KUBOJA DANIEL MABUBA</t>
  </si>
  <si>
    <t>24AM051</t>
  </si>
  <si>
    <t>LAKSHAN KUMAR P L</t>
  </si>
  <si>
    <t>24AM052</t>
  </si>
  <si>
    <t>LALITKISHORE R V</t>
  </si>
  <si>
    <t>24AM053</t>
  </si>
  <si>
    <t>LIDIYA SHAINY A</t>
  </si>
  <si>
    <t>24AM054</t>
  </si>
  <si>
    <t>LINA G</t>
  </si>
  <si>
    <t>24AM055</t>
  </si>
  <si>
    <t>LOGIN S</t>
  </si>
  <si>
    <t>24AM056</t>
  </si>
  <si>
    <t>MAHA KESHAV P</t>
  </si>
  <si>
    <t>24AM057</t>
  </si>
  <si>
    <t>MANJUNATH S M</t>
  </si>
  <si>
    <t>24AM058</t>
  </si>
  <si>
    <t>MANOJKUMAR R</t>
  </si>
  <si>
    <t>24AM059</t>
  </si>
  <si>
    <t>MATHIVATHANI M</t>
  </si>
  <si>
    <t>24AM060</t>
  </si>
  <si>
    <t>MITHILAN K</t>
  </si>
  <si>
    <t>24AM061</t>
  </si>
  <si>
    <t>MOHAMED FAHIM JAMAL M</t>
  </si>
  <si>
    <t>24AM062</t>
  </si>
  <si>
    <t>MONHIT RAJU L</t>
  </si>
  <si>
    <t>24AM063</t>
  </si>
  <si>
    <t>NADISH R</t>
  </si>
  <si>
    <t>24AM064</t>
  </si>
  <si>
    <t>NILAVAN A</t>
  </si>
  <si>
    <t>24AM303</t>
  </si>
  <si>
    <t>RAGUL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</si>
</sst>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9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000000"/>
      <name val="Calibri"/>
      <charset val="134"/>
      <scheme val="minor"/>
    </font>
    <font>
      <b/>
      <sz val="12"/>
      <color theme="1"/>
      <name val="Times New Roman"/>
      <charset val="134"/>
    </font>
    <font>
      <b/>
      <u/>
      <sz val="10"/>
      <color rgb="FF1155CC"/>
      <name val="Times New Roman"/>
      <charset val="134"/>
    </font>
    <font>
      <b/>
      <sz val="10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rgb="FF980000"/>
      <name val="Times New Roman"/>
      <charset val="134"/>
    </font>
    <font>
      <b/>
      <sz val="13"/>
      <color rgb="FF85200C"/>
      <name val="Times New Roman"/>
      <charset val="134"/>
    </font>
    <font>
      <sz val="13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178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3" fillId="0" borderId="0" xfId="0" applyNumberFormat="1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1" fontId="6" fillId="0" borderId="1" xfId="0" applyNumberFormat="1" applyFont="1" applyFill="1" applyBorder="1" applyAlignment="1">
      <alignment horizontal="center" wrapText="1"/>
    </xf>
    <xf numFmtId="1" fontId="7" fillId="0" borderId="1" xfId="0" applyNumberFormat="1" applyFont="1" applyFill="1" applyBorder="1" applyAlignment="1">
      <alignment horizontal="center" wrapText="1"/>
    </xf>
    <xf numFmtId="178" fontId="6" fillId="0" borderId="1" xfId="0" applyNumberFormat="1" applyFont="1" applyFill="1" applyBorder="1" applyAlignment="1">
      <alignment horizontal="center" wrapText="1"/>
    </xf>
    <xf numFmtId="1" fontId="8" fillId="0" borderId="1" xfId="0" applyNumberFormat="1" applyFont="1" applyFill="1" applyBorder="1" applyAlignment="1">
      <alignment horizontal="center" wrapText="1"/>
    </xf>
    <xf numFmtId="1" fontId="9" fillId="0" borderId="1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" fontId="7" fillId="2" borderId="1" xfId="0" applyNumberFormat="1" applyFont="1" applyFill="1" applyBorder="1" applyAlignment="1">
      <alignment horizontal="center" wrapText="1"/>
    </xf>
    <xf numFmtId="178" fontId="6" fillId="2" borderId="1" xfId="0" applyNumberFormat="1" applyFont="1" applyFill="1" applyBorder="1" applyAlignment="1">
      <alignment horizontal="center" wrapText="1"/>
    </xf>
    <xf numFmtId="1" fontId="8" fillId="2" borderId="1" xfId="0" applyNumberFormat="1" applyFont="1" applyFill="1" applyBorder="1" applyAlignment="1">
      <alignment horizontal="center" wrapText="1"/>
    </xf>
    <xf numFmtId="1" fontId="9" fillId="2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color rgb="FF000000"/>
      </font>
      <fill>
        <patternFill patternType="solid">
          <fgColor rgb="FFE6B8AF"/>
          <bgColor rgb="FFE6B8AF"/>
        </patternFill>
      </fill>
    </dxf>
    <dxf>
      <font>
        <color rgb="FF980000"/>
      </font>
      <fill>
        <patternFill patternType="solid">
          <fgColor rgb="FFE6B8AF"/>
          <bgColor rgb="FFE6B8A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M70"/>
  <sheetViews>
    <sheetView tabSelected="1" topLeftCell="Q1" workbookViewId="0">
      <selection activeCell="C3" sqref="C3:AM3"/>
    </sheetView>
  </sheetViews>
  <sheetFormatPr defaultColWidth="8.72727272727273" defaultRowHeight="14.5"/>
  <sheetData>
    <row r="1" spans="3:39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5" spans="3:39"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15" spans="3:39">
      <c r="C3" s="3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ht="15" spans="3:39"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"/>
      <c r="U4" s="1"/>
      <c r="V4" s="5"/>
      <c r="W4" s="5"/>
      <c r="X4" s="5"/>
      <c r="Y4" s="5"/>
      <c r="Z4" s="5"/>
      <c r="AA4" s="1"/>
      <c r="AB4" s="1"/>
      <c r="AC4" s="1"/>
      <c r="AD4" s="6"/>
      <c r="AE4" s="1"/>
      <c r="AF4" s="1"/>
      <c r="AG4" s="6"/>
      <c r="AH4" s="1"/>
      <c r="AI4" s="7" t="s">
        <v>3</v>
      </c>
      <c r="AJ4" s="2"/>
      <c r="AK4" s="2"/>
      <c r="AL4" s="2"/>
      <c r="AM4" s="2"/>
    </row>
    <row r="5" ht="52" spans="3:39">
      <c r="C5" s="8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K5" s="10" t="s">
        <v>12</v>
      </c>
      <c r="L5" s="10" t="s">
        <v>13</v>
      </c>
      <c r="M5" s="9" t="s">
        <v>14</v>
      </c>
      <c r="N5" s="10" t="s">
        <v>15</v>
      </c>
      <c r="O5" s="11" t="s">
        <v>16</v>
      </c>
      <c r="P5" s="10" t="s">
        <v>17</v>
      </c>
      <c r="Q5" s="10" t="s">
        <v>12</v>
      </c>
      <c r="R5" s="10" t="s">
        <v>18</v>
      </c>
      <c r="S5" s="10" t="s">
        <v>19</v>
      </c>
      <c r="T5" s="11" t="s">
        <v>20</v>
      </c>
      <c r="U5" s="10" t="s">
        <v>21</v>
      </c>
      <c r="V5" s="9" t="s">
        <v>22</v>
      </c>
      <c r="W5" s="11" t="s">
        <v>23</v>
      </c>
      <c r="X5" s="11" t="s">
        <v>24</v>
      </c>
      <c r="Y5" s="10" t="s">
        <v>25</v>
      </c>
      <c r="Z5" s="10" t="s">
        <v>26</v>
      </c>
      <c r="AA5" s="11" t="s">
        <v>27</v>
      </c>
      <c r="AB5" s="10" t="s">
        <v>28</v>
      </c>
      <c r="AC5" s="9" t="s">
        <v>29</v>
      </c>
      <c r="AD5" s="10" t="s">
        <v>30</v>
      </c>
      <c r="AE5" s="10" t="s">
        <v>31</v>
      </c>
      <c r="AF5" s="10" t="s">
        <v>32</v>
      </c>
      <c r="AG5" s="10" t="s">
        <v>33</v>
      </c>
      <c r="AH5" s="9" t="s">
        <v>34</v>
      </c>
      <c r="AI5" s="10" t="s">
        <v>35</v>
      </c>
      <c r="AJ5" s="9" t="s">
        <v>36</v>
      </c>
      <c r="AK5" s="10" t="s">
        <v>37</v>
      </c>
      <c r="AL5" s="10" t="s">
        <v>38</v>
      </c>
      <c r="AM5" s="10" t="s">
        <v>39</v>
      </c>
    </row>
    <row r="6" ht="49.5" spans="3:39">
      <c r="C6" s="12">
        <v>1</v>
      </c>
      <c r="D6" s="13" t="s">
        <v>40</v>
      </c>
      <c r="E6" s="13" t="s">
        <v>41</v>
      </c>
      <c r="F6" s="14" t="s">
        <v>42</v>
      </c>
      <c r="G6" s="14" t="s">
        <v>42</v>
      </c>
      <c r="H6" s="13" t="s">
        <v>43</v>
      </c>
      <c r="I6" s="14">
        <v>47</v>
      </c>
      <c r="J6" s="15">
        <v>28</v>
      </c>
      <c r="K6" s="15">
        <f t="shared" ref="K6:K69" si="0">I6-J6</f>
        <v>19</v>
      </c>
      <c r="L6" s="15">
        <f t="shared" ref="L6:L69" si="1">I6/60*75</f>
        <v>58.75</v>
      </c>
      <c r="M6" s="15">
        <f t="shared" ref="M6:M69" si="2">I6/60*25</f>
        <v>19.5833333333333</v>
      </c>
      <c r="N6" s="16">
        <f t="shared" ref="N6:N69" si="3">I6/60*100</f>
        <v>78.3333333333333</v>
      </c>
      <c r="O6" s="17">
        <f t="shared" ref="O6:O69" si="4">N6/100*8</f>
        <v>6.26666666666667</v>
      </c>
      <c r="P6" s="15">
        <v>47</v>
      </c>
      <c r="Q6" s="15">
        <f t="shared" ref="Q6:Q69" si="5">P6-R6</f>
        <v>16</v>
      </c>
      <c r="R6" s="15">
        <f t="shared" ref="R6:R69" si="6">FLOOR(P6/60*40,1)</f>
        <v>31</v>
      </c>
      <c r="S6" s="15">
        <f t="shared" ref="S6:S69" si="7">K6+Q6</f>
        <v>35</v>
      </c>
      <c r="T6" s="15">
        <f t="shared" ref="T6:T69" si="8">P6/60*100</f>
        <v>78.3333333333333</v>
      </c>
      <c r="U6" s="15">
        <f t="shared" ref="U6:U69" si="9">FLOOR(T6/100*75,1)</f>
        <v>58</v>
      </c>
      <c r="V6" s="18">
        <f t="shared" ref="V6:V69" si="10">T6-U6</f>
        <v>20.3333333333333</v>
      </c>
      <c r="W6" s="15">
        <f t="shared" ref="W6:W69" si="11">T6/100*8</f>
        <v>6.26666666666667</v>
      </c>
      <c r="X6" s="15">
        <v>60</v>
      </c>
      <c r="Y6" s="17">
        <f t="shared" ref="Y6:Y69" si="12">FLOOR(AD6/100*40,1)</f>
        <v>30</v>
      </c>
      <c r="Z6" s="17">
        <f t="shared" ref="Z6:Z69" si="13">X6-Y6</f>
        <v>30</v>
      </c>
      <c r="AA6" s="15">
        <f t="shared" ref="AA6:AA69" si="14">X6/80*8</f>
        <v>6</v>
      </c>
      <c r="AB6" s="15">
        <f t="shared" ref="AB6:AB69" si="15">X6/80*75</f>
        <v>56.25</v>
      </c>
      <c r="AC6" s="15">
        <f t="shared" ref="AC6:AC69" si="16">AD6-AB6</f>
        <v>18.75</v>
      </c>
      <c r="AD6" s="15">
        <f t="shared" ref="AD6:AD69" si="17">X6/80*100</f>
        <v>75</v>
      </c>
      <c r="AE6" s="19">
        <f t="shared" ref="AE6:AE69" si="18">AF6/100*60</f>
        <v>57.6</v>
      </c>
      <c r="AF6" s="20">
        <v>96</v>
      </c>
      <c r="AG6" s="20">
        <f t="shared" ref="AG6:AG69" si="19">AF6/100*6</f>
        <v>5.76</v>
      </c>
      <c r="AH6" s="20">
        <f t="shared" ref="AH6:AH41" si="20">AF6</f>
        <v>96</v>
      </c>
      <c r="AI6" s="20">
        <f t="shared" ref="AI6:AI69" si="21">AH6/100*5</f>
        <v>4.8</v>
      </c>
      <c r="AJ6" s="20">
        <f t="shared" ref="AJ6:AJ69" si="22">AF6</f>
        <v>96</v>
      </c>
      <c r="AK6" s="20">
        <f t="shared" ref="AK6:AK69" si="23">AJ6/100*5</f>
        <v>4.8</v>
      </c>
      <c r="AL6" s="20">
        <f t="shared" ref="AL6:AL69" si="24">O6+W6+AA6</f>
        <v>18.5333333333333</v>
      </c>
      <c r="AM6" s="20">
        <f t="shared" ref="AM6:AM69" si="25">AL6+AG6+AI6+AK6</f>
        <v>33.8933333333333</v>
      </c>
    </row>
    <row r="7" ht="33" spans="3:39">
      <c r="C7" s="12">
        <v>2</v>
      </c>
      <c r="D7" s="13" t="s">
        <v>44</v>
      </c>
      <c r="E7" s="13" t="s">
        <v>45</v>
      </c>
      <c r="F7" s="14" t="s">
        <v>42</v>
      </c>
      <c r="G7" s="14" t="s">
        <v>42</v>
      </c>
      <c r="H7" s="13" t="s">
        <v>43</v>
      </c>
      <c r="I7" s="14">
        <v>52</v>
      </c>
      <c r="J7" s="15">
        <v>34</v>
      </c>
      <c r="K7" s="15">
        <f t="shared" si="0"/>
        <v>18</v>
      </c>
      <c r="L7" s="15">
        <f t="shared" si="1"/>
        <v>65</v>
      </c>
      <c r="M7" s="15">
        <f t="shared" si="2"/>
        <v>21.6666666666667</v>
      </c>
      <c r="N7" s="16">
        <f t="shared" si="3"/>
        <v>86.6666666666667</v>
      </c>
      <c r="O7" s="17">
        <f t="shared" si="4"/>
        <v>6.93333333333333</v>
      </c>
      <c r="P7" s="15">
        <v>38</v>
      </c>
      <c r="Q7" s="15">
        <f t="shared" si="5"/>
        <v>13</v>
      </c>
      <c r="R7" s="15">
        <f t="shared" si="6"/>
        <v>25</v>
      </c>
      <c r="S7" s="15">
        <f t="shared" si="7"/>
        <v>31</v>
      </c>
      <c r="T7" s="15">
        <f t="shared" si="8"/>
        <v>63.3333333333333</v>
      </c>
      <c r="U7" s="15">
        <f t="shared" si="9"/>
        <v>47</v>
      </c>
      <c r="V7" s="18">
        <f t="shared" si="10"/>
        <v>16.3333333333333</v>
      </c>
      <c r="W7" s="15">
        <f t="shared" si="11"/>
        <v>5.06666666666667</v>
      </c>
      <c r="X7" s="15">
        <v>63</v>
      </c>
      <c r="Y7" s="17">
        <f t="shared" si="12"/>
        <v>31</v>
      </c>
      <c r="Z7" s="17">
        <f t="shared" si="13"/>
        <v>32</v>
      </c>
      <c r="AA7" s="15">
        <f t="shared" si="14"/>
        <v>6.3</v>
      </c>
      <c r="AB7" s="15">
        <f t="shared" si="15"/>
        <v>59.0625</v>
      </c>
      <c r="AC7" s="15">
        <f t="shared" si="16"/>
        <v>19.6875</v>
      </c>
      <c r="AD7" s="15">
        <f t="shared" si="17"/>
        <v>78.75</v>
      </c>
      <c r="AE7" s="19">
        <f t="shared" si="18"/>
        <v>58.8</v>
      </c>
      <c r="AF7" s="20">
        <v>98</v>
      </c>
      <c r="AG7" s="20">
        <f t="shared" si="19"/>
        <v>5.88</v>
      </c>
      <c r="AH7" s="20">
        <f t="shared" si="20"/>
        <v>98</v>
      </c>
      <c r="AI7" s="20">
        <f t="shared" si="21"/>
        <v>4.9</v>
      </c>
      <c r="AJ7" s="20">
        <f t="shared" si="22"/>
        <v>98</v>
      </c>
      <c r="AK7" s="20">
        <f t="shared" si="23"/>
        <v>4.9</v>
      </c>
      <c r="AL7" s="20">
        <f t="shared" si="24"/>
        <v>18.3</v>
      </c>
      <c r="AM7" s="20">
        <f t="shared" si="25"/>
        <v>33.98</v>
      </c>
    </row>
    <row r="8" ht="66" spans="3:39">
      <c r="C8" s="12">
        <v>3</v>
      </c>
      <c r="D8" s="13" t="s">
        <v>46</v>
      </c>
      <c r="E8" s="13" t="s">
        <v>47</v>
      </c>
      <c r="F8" s="14" t="s">
        <v>43</v>
      </c>
      <c r="G8" s="14" t="s">
        <v>43</v>
      </c>
      <c r="H8" s="13" t="s">
        <v>43</v>
      </c>
      <c r="I8" s="14">
        <v>37</v>
      </c>
      <c r="J8" s="15">
        <v>23</v>
      </c>
      <c r="K8" s="15">
        <f t="shared" si="0"/>
        <v>14</v>
      </c>
      <c r="L8" s="15">
        <f t="shared" si="1"/>
        <v>46.25</v>
      </c>
      <c r="M8" s="15">
        <f t="shared" si="2"/>
        <v>15.4166666666667</v>
      </c>
      <c r="N8" s="16">
        <f t="shared" si="3"/>
        <v>61.6666666666667</v>
      </c>
      <c r="O8" s="17">
        <f t="shared" si="4"/>
        <v>4.93333333333333</v>
      </c>
      <c r="P8" s="15">
        <v>32</v>
      </c>
      <c r="Q8" s="15">
        <f t="shared" si="5"/>
        <v>11</v>
      </c>
      <c r="R8" s="15">
        <f t="shared" si="6"/>
        <v>21</v>
      </c>
      <c r="S8" s="15">
        <f t="shared" si="7"/>
        <v>25</v>
      </c>
      <c r="T8" s="15">
        <f t="shared" si="8"/>
        <v>53.3333333333333</v>
      </c>
      <c r="U8" s="15">
        <f t="shared" si="9"/>
        <v>40</v>
      </c>
      <c r="V8" s="18">
        <f t="shared" si="10"/>
        <v>13.3333333333333</v>
      </c>
      <c r="W8" s="15">
        <f t="shared" si="11"/>
        <v>4.26666666666667</v>
      </c>
      <c r="X8" s="15">
        <v>19</v>
      </c>
      <c r="Y8" s="17">
        <f t="shared" si="12"/>
        <v>9</v>
      </c>
      <c r="Z8" s="17">
        <f t="shared" si="13"/>
        <v>10</v>
      </c>
      <c r="AA8" s="15">
        <f t="shared" si="14"/>
        <v>1.9</v>
      </c>
      <c r="AB8" s="15">
        <f t="shared" si="15"/>
        <v>17.8125</v>
      </c>
      <c r="AC8" s="15">
        <f t="shared" si="16"/>
        <v>5.9375</v>
      </c>
      <c r="AD8" s="15">
        <f t="shared" si="17"/>
        <v>23.75</v>
      </c>
      <c r="AE8" s="19">
        <f t="shared" si="18"/>
        <v>51.6</v>
      </c>
      <c r="AF8" s="20">
        <v>86</v>
      </c>
      <c r="AG8" s="20">
        <f t="shared" si="19"/>
        <v>5.16</v>
      </c>
      <c r="AH8" s="20">
        <f t="shared" si="20"/>
        <v>86</v>
      </c>
      <c r="AI8" s="20">
        <f t="shared" si="21"/>
        <v>4.3</v>
      </c>
      <c r="AJ8" s="20">
        <f t="shared" si="22"/>
        <v>86</v>
      </c>
      <c r="AK8" s="20">
        <f t="shared" si="23"/>
        <v>4.3</v>
      </c>
      <c r="AL8" s="20">
        <f t="shared" si="24"/>
        <v>11.1</v>
      </c>
      <c r="AM8" s="20">
        <f t="shared" si="25"/>
        <v>24.86</v>
      </c>
    </row>
    <row r="9" ht="33" spans="3:39">
      <c r="C9" s="12">
        <v>4</v>
      </c>
      <c r="D9" s="13" t="s">
        <v>48</v>
      </c>
      <c r="E9" s="13" t="s">
        <v>49</v>
      </c>
      <c r="F9" s="14" t="s">
        <v>42</v>
      </c>
      <c r="G9" s="14" t="s">
        <v>42</v>
      </c>
      <c r="H9" s="13" t="s">
        <v>42</v>
      </c>
      <c r="I9" s="14">
        <v>49</v>
      </c>
      <c r="J9" s="15">
        <v>34</v>
      </c>
      <c r="K9" s="15">
        <f t="shared" si="0"/>
        <v>15</v>
      </c>
      <c r="L9" s="15">
        <f t="shared" si="1"/>
        <v>61.25</v>
      </c>
      <c r="M9" s="15">
        <f t="shared" si="2"/>
        <v>20.4166666666667</v>
      </c>
      <c r="N9" s="16">
        <f t="shared" si="3"/>
        <v>81.6666666666667</v>
      </c>
      <c r="O9" s="17">
        <f t="shared" si="4"/>
        <v>6.53333333333333</v>
      </c>
      <c r="P9" s="15">
        <v>40</v>
      </c>
      <c r="Q9" s="15">
        <f t="shared" si="5"/>
        <v>14</v>
      </c>
      <c r="R9" s="15">
        <f t="shared" si="6"/>
        <v>26</v>
      </c>
      <c r="S9" s="15">
        <f t="shared" si="7"/>
        <v>29</v>
      </c>
      <c r="T9" s="15">
        <f t="shared" si="8"/>
        <v>66.6666666666667</v>
      </c>
      <c r="U9" s="15">
        <f t="shared" si="9"/>
        <v>50</v>
      </c>
      <c r="V9" s="18">
        <f t="shared" si="10"/>
        <v>16.6666666666667</v>
      </c>
      <c r="W9" s="15">
        <f t="shared" si="11"/>
        <v>5.33333333333333</v>
      </c>
      <c r="X9" s="15">
        <v>64</v>
      </c>
      <c r="Y9" s="17">
        <f t="shared" si="12"/>
        <v>32</v>
      </c>
      <c r="Z9" s="17">
        <f t="shared" si="13"/>
        <v>32</v>
      </c>
      <c r="AA9" s="15">
        <f t="shared" si="14"/>
        <v>6.4</v>
      </c>
      <c r="AB9" s="15">
        <f t="shared" si="15"/>
        <v>60</v>
      </c>
      <c r="AC9" s="15">
        <f t="shared" si="16"/>
        <v>20</v>
      </c>
      <c r="AD9" s="15">
        <f t="shared" si="17"/>
        <v>80</v>
      </c>
      <c r="AE9" s="19">
        <f t="shared" si="18"/>
        <v>60</v>
      </c>
      <c r="AF9" s="20">
        <v>100</v>
      </c>
      <c r="AG9" s="20">
        <f t="shared" si="19"/>
        <v>6</v>
      </c>
      <c r="AH9" s="20">
        <f t="shared" si="20"/>
        <v>100</v>
      </c>
      <c r="AI9" s="20">
        <f t="shared" si="21"/>
        <v>5</v>
      </c>
      <c r="AJ9" s="20">
        <f t="shared" si="22"/>
        <v>100</v>
      </c>
      <c r="AK9" s="20">
        <f t="shared" si="23"/>
        <v>5</v>
      </c>
      <c r="AL9" s="20">
        <f t="shared" si="24"/>
        <v>18.2666666666667</v>
      </c>
      <c r="AM9" s="20">
        <f t="shared" si="25"/>
        <v>34.2666666666667</v>
      </c>
    </row>
    <row r="10" ht="49.5" spans="3:39">
      <c r="C10" s="12">
        <v>5</v>
      </c>
      <c r="D10" s="13" t="s">
        <v>50</v>
      </c>
      <c r="E10" s="13" t="s">
        <v>51</v>
      </c>
      <c r="F10" s="14" t="s">
        <v>42</v>
      </c>
      <c r="G10" s="14" t="s">
        <v>42</v>
      </c>
      <c r="H10" s="13" t="s">
        <v>42</v>
      </c>
      <c r="I10" s="14">
        <v>46</v>
      </c>
      <c r="J10" s="15">
        <v>30</v>
      </c>
      <c r="K10" s="15">
        <f t="shared" si="0"/>
        <v>16</v>
      </c>
      <c r="L10" s="15">
        <f t="shared" si="1"/>
        <v>57.5</v>
      </c>
      <c r="M10" s="15">
        <f t="shared" si="2"/>
        <v>19.1666666666667</v>
      </c>
      <c r="N10" s="16">
        <f t="shared" si="3"/>
        <v>76.6666666666667</v>
      </c>
      <c r="O10" s="17">
        <f t="shared" si="4"/>
        <v>6.13333333333333</v>
      </c>
      <c r="P10" s="15">
        <v>60</v>
      </c>
      <c r="Q10" s="15">
        <f t="shared" si="5"/>
        <v>20</v>
      </c>
      <c r="R10" s="15">
        <f t="shared" si="6"/>
        <v>40</v>
      </c>
      <c r="S10" s="15">
        <f t="shared" si="7"/>
        <v>36</v>
      </c>
      <c r="T10" s="15">
        <f t="shared" si="8"/>
        <v>100</v>
      </c>
      <c r="U10" s="15">
        <f t="shared" si="9"/>
        <v>75</v>
      </c>
      <c r="V10" s="18">
        <f t="shared" si="10"/>
        <v>25</v>
      </c>
      <c r="W10" s="15">
        <f t="shared" si="11"/>
        <v>8</v>
      </c>
      <c r="X10" s="15">
        <v>72</v>
      </c>
      <c r="Y10" s="17">
        <f t="shared" si="12"/>
        <v>36</v>
      </c>
      <c r="Z10" s="17">
        <f t="shared" si="13"/>
        <v>36</v>
      </c>
      <c r="AA10" s="15">
        <f t="shared" si="14"/>
        <v>7.2</v>
      </c>
      <c r="AB10" s="15">
        <f t="shared" si="15"/>
        <v>67.5</v>
      </c>
      <c r="AC10" s="15">
        <f t="shared" si="16"/>
        <v>22.5</v>
      </c>
      <c r="AD10" s="15">
        <f t="shared" si="17"/>
        <v>90</v>
      </c>
      <c r="AE10" s="19">
        <f t="shared" si="18"/>
        <v>60</v>
      </c>
      <c r="AF10" s="20">
        <f>MAX(N10,T10,AD10)</f>
        <v>100</v>
      </c>
      <c r="AG10" s="20">
        <f t="shared" si="19"/>
        <v>6</v>
      </c>
      <c r="AH10" s="20">
        <f t="shared" si="20"/>
        <v>100</v>
      </c>
      <c r="AI10" s="20">
        <f t="shared" si="21"/>
        <v>5</v>
      </c>
      <c r="AJ10" s="20">
        <f t="shared" si="22"/>
        <v>100</v>
      </c>
      <c r="AK10" s="20">
        <f t="shared" si="23"/>
        <v>5</v>
      </c>
      <c r="AL10" s="20">
        <f t="shared" si="24"/>
        <v>21.3333333333333</v>
      </c>
      <c r="AM10" s="20">
        <f t="shared" si="25"/>
        <v>37.3333333333333</v>
      </c>
    </row>
    <row r="11" ht="49.5" spans="3:39">
      <c r="C11" s="12">
        <v>6</v>
      </c>
      <c r="D11" s="13" t="s">
        <v>52</v>
      </c>
      <c r="E11" s="13" t="s">
        <v>53</v>
      </c>
      <c r="F11" s="14" t="s">
        <v>42</v>
      </c>
      <c r="G11" s="14" t="s">
        <v>42</v>
      </c>
      <c r="H11" s="13" t="s">
        <v>42</v>
      </c>
      <c r="I11" s="14">
        <v>30</v>
      </c>
      <c r="J11" s="15">
        <v>11</v>
      </c>
      <c r="K11" s="15">
        <f t="shared" si="0"/>
        <v>19</v>
      </c>
      <c r="L11" s="15">
        <f t="shared" si="1"/>
        <v>37.5</v>
      </c>
      <c r="M11" s="15">
        <f t="shared" si="2"/>
        <v>12.5</v>
      </c>
      <c r="N11" s="16">
        <f t="shared" si="3"/>
        <v>50</v>
      </c>
      <c r="O11" s="17">
        <f t="shared" si="4"/>
        <v>4</v>
      </c>
      <c r="P11" s="15">
        <v>34</v>
      </c>
      <c r="Q11" s="15">
        <f t="shared" si="5"/>
        <v>12</v>
      </c>
      <c r="R11" s="15">
        <f t="shared" si="6"/>
        <v>22</v>
      </c>
      <c r="S11" s="15">
        <f t="shared" si="7"/>
        <v>31</v>
      </c>
      <c r="T11" s="15">
        <f t="shared" si="8"/>
        <v>56.6666666666667</v>
      </c>
      <c r="U11" s="15">
        <f t="shared" si="9"/>
        <v>42</v>
      </c>
      <c r="V11" s="18">
        <f t="shared" si="10"/>
        <v>14.6666666666667</v>
      </c>
      <c r="W11" s="15">
        <f t="shared" si="11"/>
        <v>4.53333333333333</v>
      </c>
      <c r="X11" s="15">
        <v>62</v>
      </c>
      <c r="Y11" s="17">
        <f t="shared" si="12"/>
        <v>31</v>
      </c>
      <c r="Z11" s="17">
        <f t="shared" si="13"/>
        <v>31</v>
      </c>
      <c r="AA11" s="15">
        <f t="shared" si="14"/>
        <v>6.2</v>
      </c>
      <c r="AB11" s="15">
        <f t="shared" si="15"/>
        <v>58.125</v>
      </c>
      <c r="AC11" s="15">
        <f t="shared" si="16"/>
        <v>19.375</v>
      </c>
      <c r="AD11" s="15">
        <f t="shared" si="17"/>
        <v>77.5</v>
      </c>
      <c r="AE11" s="19">
        <f t="shared" si="18"/>
        <v>55.2</v>
      </c>
      <c r="AF11" s="20">
        <v>92</v>
      </c>
      <c r="AG11" s="20">
        <f t="shared" si="19"/>
        <v>5.52</v>
      </c>
      <c r="AH11" s="20">
        <f t="shared" si="20"/>
        <v>92</v>
      </c>
      <c r="AI11" s="20">
        <f t="shared" si="21"/>
        <v>4.6</v>
      </c>
      <c r="AJ11" s="20">
        <f t="shared" si="22"/>
        <v>92</v>
      </c>
      <c r="AK11" s="20">
        <f t="shared" si="23"/>
        <v>4.6</v>
      </c>
      <c r="AL11" s="20">
        <f t="shared" si="24"/>
        <v>14.7333333333333</v>
      </c>
      <c r="AM11" s="20">
        <f t="shared" si="25"/>
        <v>29.4533333333333</v>
      </c>
    </row>
    <row r="12" ht="66" spans="3:39">
      <c r="C12" s="12">
        <v>7</v>
      </c>
      <c r="D12" s="13" t="s">
        <v>54</v>
      </c>
      <c r="E12" s="13" t="s">
        <v>55</v>
      </c>
      <c r="F12" s="14" t="s">
        <v>42</v>
      </c>
      <c r="G12" s="14" t="s">
        <v>42</v>
      </c>
      <c r="H12" s="13" t="s">
        <v>42</v>
      </c>
      <c r="I12" s="14">
        <v>50</v>
      </c>
      <c r="J12" s="15">
        <v>32</v>
      </c>
      <c r="K12" s="15">
        <f t="shared" si="0"/>
        <v>18</v>
      </c>
      <c r="L12" s="15">
        <f t="shared" si="1"/>
        <v>62.5</v>
      </c>
      <c r="M12" s="15">
        <f t="shared" si="2"/>
        <v>20.8333333333333</v>
      </c>
      <c r="N12" s="16">
        <f t="shared" si="3"/>
        <v>83.3333333333333</v>
      </c>
      <c r="O12" s="17">
        <f t="shared" si="4"/>
        <v>6.66666666666667</v>
      </c>
      <c r="P12" s="15">
        <v>52</v>
      </c>
      <c r="Q12" s="15">
        <f t="shared" si="5"/>
        <v>18</v>
      </c>
      <c r="R12" s="15">
        <f t="shared" si="6"/>
        <v>34</v>
      </c>
      <c r="S12" s="15">
        <f t="shared" si="7"/>
        <v>36</v>
      </c>
      <c r="T12" s="15">
        <f t="shared" si="8"/>
        <v>86.6666666666667</v>
      </c>
      <c r="U12" s="15">
        <f t="shared" si="9"/>
        <v>65</v>
      </c>
      <c r="V12" s="18">
        <f t="shared" si="10"/>
        <v>21.6666666666667</v>
      </c>
      <c r="W12" s="15">
        <f t="shared" si="11"/>
        <v>6.93333333333333</v>
      </c>
      <c r="X12" s="15">
        <v>74</v>
      </c>
      <c r="Y12" s="17">
        <f t="shared" si="12"/>
        <v>37</v>
      </c>
      <c r="Z12" s="17">
        <f t="shared" si="13"/>
        <v>37</v>
      </c>
      <c r="AA12" s="15">
        <f t="shared" si="14"/>
        <v>7.4</v>
      </c>
      <c r="AB12" s="15">
        <f t="shared" si="15"/>
        <v>69.375</v>
      </c>
      <c r="AC12" s="15">
        <f t="shared" si="16"/>
        <v>23.125</v>
      </c>
      <c r="AD12" s="15">
        <f t="shared" si="17"/>
        <v>92.5</v>
      </c>
      <c r="AE12" s="19">
        <f t="shared" si="18"/>
        <v>58.8</v>
      </c>
      <c r="AF12" s="20">
        <v>98</v>
      </c>
      <c r="AG12" s="20">
        <f t="shared" si="19"/>
        <v>5.88</v>
      </c>
      <c r="AH12" s="20">
        <f t="shared" si="20"/>
        <v>98</v>
      </c>
      <c r="AI12" s="20">
        <f t="shared" si="21"/>
        <v>4.9</v>
      </c>
      <c r="AJ12" s="20">
        <f t="shared" si="22"/>
        <v>98</v>
      </c>
      <c r="AK12" s="20">
        <f t="shared" si="23"/>
        <v>4.9</v>
      </c>
      <c r="AL12" s="20">
        <f t="shared" si="24"/>
        <v>21</v>
      </c>
      <c r="AM12" s="20">
        <f t="shared" si="25"/>
        <v>36.68</v>
      </c>
    </row>
    <row r="13" ht="33" spans="3:39">
      <c r="C13" s="12">
        <v>8</v>
      </c>
      <c r="D13" s="13" t="s">
        <v>56</v>
      </c>
      <c r="E13" s="13" t="s">
        <v>57</v>
      </c>
      <c r="F13" s="14" t="s">
        <v>42</v>
      </c>
      <c r="G13" s="14" t="s">
        <v>42</v>
      </c>
      <c r="H13" s="13" t="s">
        <v>43</v>
      </c>
      <c r="I13" s="14">
        <v>30</v>
      </c>
      <c r="J13" s="15">
        <v>18</v>
      </c>
      <c r="K13" s="15">
        <f t="shared" si="0"/>
        <v>12</v>
      </c>
      <c r="L13" s="15">
        <f t="shared" si="1"/>
        <v>37.5</v>
      </c>
      <c r="M13" s="15">
        <f t="shared" si="2"/>
        <v>12.5</v>
      </c>
      <c r="N13" s="16">
        <f t="shared" si="3"/>
        <v>50</v>
      </c>
      <c r="O13" s="17">
        <f t="shared" si="4"/>
        <v>4</v>
      </c>
      <c r="P13" s="15">
        <v>41</v>
      </c>
      <c r="Q13" s="15">
        <f t="shared" si="5"/>
        <v>14</v>
      </c>
      <c r="R13" s="15">
        <f t="shared" si="6"/>
        <v>27</v>
      </c>
      <c r="S13" s="15">
        <f t="shared" si="7"/>
        <v>26</v>
      </c>
      <c r="T13" s="15">
        <f t="shared" si="8"/>
        <v>68.3333333333333</v>
      </c>
      <c r="U13" s="15">
        <f t="shared" si="9"/>
        <v>51</v>
      </c>
      <c r="V13" s="18">
        <f t="shared" si="10"/>
        <v>17.3333333333333</v>
      </c>
      <c r="W13" s="15">
        <f t="shared" si="11"/>
        <v>5.46666666666667</v>
      </c>
      <c r="X13" s="15">
        <v>66</v>
      </c>
      <c r="Y13" s="17">
        <f t="shared" si="12"/>
        <v>33</v>
      </c>
      <c r="Z13" s="17">
        <f t="shared" si="13"/>
        <v>33</v>
      </c>
      <c r="AA13" s="15">
        <f t="shared" si="14"/>
        <v>6.6</v>
      </c>
      <c r="AB13" s="15">
        <f t="shared" si="15"/>
        <v>61.875</v>
      </c>
      <c r="AC13" s="15">
        <f t="shared" si="16"/>
        <v>20.625</v>
      </c>
      <c r="AD13" s="15">
        <f t="shared" si="17"/>
        <v>82.5</v>
      </c>
      <c r="AE13" s="19">
        <f t="shared" si="18"/>
        <v>54</v>
      </c>
      <c r="AF13" s="20">
        <v>90</v>
      </c>
      <c r="AG13" s="20">
        <f t="shared" si="19"/>
        <v>5.4</v>
      </c>
      <c r="AH13" s="20">
        <f t="shared" si="20"/>
        <v>90</v>
      </c>
      <c r="AI13" s="20">
        <f t="shared" si="21"/>
        <v>4.5</v>
      </c>
      <c r="AJ13" s="20">
        <f t="shared" si="22"/>
        <v>90</v>
      </c>
      <c r="AK13" s="20">
        <f t="shared" si="23"/>
        <v>4.5</v>
      </c>
      <c r="AL13" s="20">
        <f t="shared" si="24"/>
        <v>16.0666666666667</v>
      </c>
      <c r="AM13" s="20">
        <f t="shared" si="25"/>
        <v>30.4666666666667</v>
      </c>
    </row>
    <row r="14" ht="33" spans="3:39">
      <c r="C14" s="12">
        <v>9</v>
      </c>
      <c r="D14" s="13" t="s">
        <v>58</v>
      </c>
      <c r="E14" s="13" t="s">
        <v>59</v>
      </c>
      <c r="F14" s="14" t="s">
        <v>43</v>
      </c>
      <c r="G14" s="14" t="s">
        <v>43</v>
      </c>
      <c r="H14" s="13" t="s">
        <v>43</v>
      </c>
      <c r="I14" s="14">
        <v>47</v>
      </c>
      <c r="J14" s="15">
        <v>29</v>
      </c>
      <c r="K14" s="15">
        <f t="shared" si="0"/>
        <v>18</v>
      </c>
      <c r="L14" s="15">
        <f t="shared" si="1"/>
        <v>58.75</v>
      </c>
      <c r="M14" s="15">
        <f t="shared" si="2"/>
        <v>19.5833333333333</v>
      </c>
      <c r="N14" s="16">
        <f t="shared" si="3"/>
        <v>78.3333333333333</v>
      </c>
      <c r="O14" s="17">
        <f t="shared" si="4"/>
        <v>6.26666666666667</v>
      </c>
      <c r="P14" s="15">
        <v>40</v>
      </c>
      <c r="Q14" s="15">
        <f t="shared" si="5"/>
        <v>14</v>
      </c>
      <c r="R14" s="15">
        <f t="shared" si="6"/>
        <v>26</v>
      </c>
      <c r="S14" s="15">
        <f t="shared" si="7"/>
        <v>32</v>
      </c>
      <c r="T14" s="15">
        <f t="shared" si="8"/>
        <v>66.6666666666667</v>
      </c>
      <c r="U14" s="15">
        <f t="shared" si="9"/>
        <v>50</v>
      </c>
      <c r="V14" s="18">
        <f t="shared" si="10"/>
        <v>16.6666666666667</v>
      </c>
      <c r="W14" s="15">
        <f t="shared" si="11"/>
        <v>5.33333333333333</v>
      </c>
      <c r="X14" s="15">
        <v>57</v>
      </c>
      <c r="Y14" s="17">
        <f t="shared" si="12"/>
        <v>28</v>
      </c>
      <c r="Z14" s="17">
        <f t="shared" si="13"/>
        <v>29</v>
      </c>
      <c r="AA14" s="15">
        <f t="shared" si="14"/>
        <v>5.7</v>
      </c>
      <c r="AB14" s="15">
        <f t="shared" si="15"/>
        <v>53.4375</v>
      </c>
      <c r="AC14" s="15">
        <f t="shared" si="16"/>
        <v>17.8125</v>
      </c>
      <c r="AD14" s="15">
        <f t="shared" si="17"/>
        <v>71.25</v>
      </c>
      <c r="AE14" s="19">
        <f t="shared" si="18"/>
        <v>55.2</v>
      </c>
      <c r="AF14" s="20">
        <v>92</v>
      </c>
      <c r="AG14" s="20">
        <f t="shared" si="19"/>
        <v>5.52</v>
      </c>
      <c r="AH14" s="20">
        <f t="shared" si="20"/>
        <v>92</v>
      </c>
      <c r="AI14" s="20">
        <f t="shared" si="21"/>
        <v>4.6</v>
      </c>
      <c r="AJ14" s="20">
        <f t="shared" si="22"/>
        <v>92</v>
      </c>
      <c r="AK14" s="20">
        <f t="shared" si="23"/>
        <v>4.6</v>
      </c>
      <c r="AL14" s="20">
        <f t="shared" si="24"/>
        <v>17.3</v>
      </c>
      <c r="AM14" s="20">
        <f t="shared" si="25"/>
        <v>32.02</v>
      </c>
    </row>
    <row r="15" ht="49.5" spans="3:39">
      <c r="C15" s="12">
        <v>10</v>
      </c>
      <c r="D15" s="13" t="s">
        <v>60</v>
      </c>
      <c r="E15" s="13" t="s">
        <v>61</v>
      </c>
      <c r="F15" s="14" t="s">
        <v>42</v>
      </c>
      <c r="G15" s="14" t="s">
        <v>43</v>
      </c>
      <c r="H15" s="13" t="s">
        <v>43</v>
      </c>
      <c r="I15" s="14">
        <v>41</v>
      </c>
      <c r="J15" s="15">
        <v>28</v>
      </c>
      <c r="K15" s="15">
        <f t="shared" si="0"/>
        <v>13</v>
      </c>
      <c r="L15" s="15">
        <f t="shared" si="1"/>
        <v>51.25</v>
      </c>
      <c r="M15" s="15">
        <f t="shared" si="2"/>
        <v>17.0833333333333</v>
      </c>
      <c r="N15" s="16">
        <f t="shared" si="3"/>
        <v>68.3333333333333</v>
      </c>
      <c r="O15" s="17">
        <f t="shared" si="4"/>
        <v>5.46666666666667</v>
      </c>
      <c r="P15" s="15">
        <v>49</v>
      </c>
      <c r="Q15" s="15">
        <f t="shared" si="5"/>
        <v>17</v>
      </c>
      <c r="R15" s="15">
        <f t="shared" si="6"/>
        <v>32</v>
      </c>
      <c r="S15" s="15">
        <f t="shared" si="7"/>
        <v>30</v>
      </c>
      <c r="T15" s="15">
        <f t="shared" si="8"/>
        <v>81.6666666666667</v>
      </c>
      <c r="U15" s="15">
        <f t="shared" si="9"/>
        <v>61</v>
      </c>
      <c r="V15" s="18">
        <f t="shared" si="10"/>
        <v>20.6666666666667</v>
      </c>
      <c r="W15" s="15">
        <f t="shared" si="11"/>
        <v>6.53333333333333</v>
      </c>
      <c r="X15" s="15">
        <v>58</v>
      </c>
      <c r="Y15" s="17">
        <f t="shared" si="12"/>
        <v>29</v>
      </c>
      <c r="Z15" s="17">
        <f t="shared" si="13"/>
        <v>29</v>
      </c>
      <c r="AA15" s="15">
        <f t="shared" si="14"/>
        <v>5.8</v>
      </c>
      <c r="AB15" s="15">
        <f t="shared" si="15"/>
        <v>54.375</v>
      </c>
      <c r="AC15" s="15">
        <f t="shared" si="16"/>
        <v>18.125</v>
      </c>
      <c r="AD15" s="15">
        <f t="shared" si="17"/>
        <v>72.5</v>
      </c>
      <c r="AE15" s="19">
        <f t="shared" si="18"/>
        <v>54</v>
      </c>
      <c r="AF15" s="20">
        <v>90</v>
      </c>
      <c r="AG15" s="20">
        <f t="shared" si="19"/>
        <v>5.4</v>
      </c>
      <c r="AH15" s="20">
        <f t="shared" si="20"/>
        <v>90</v>
      </c>
      <c r="AI15" s="20">
        <f t="shared" si="21"/>
        <v>4.5</v>
      </c>
      <c r="AJ15" s="20">
        <f t="shared" si="22"/>
        <v>90</v>
      </c>
      <c r="AK15" s="20">
        <f t="shared" si="23"/>
        <v>4.5</v>
      </c>
      <c r="AL15" s="20">
        <f t="shared" si="24"/>
        <v>17.8</v>
      </c>
      <c r="AM15" s="20">
        <f t="shared" si="25"/>
        <v>32.2</v>
      </c>
    </row>
    <row r="16" ht="49.5" spans="3:39">
      <c r="C16" s="12">
        <v>11</v>
      </c>
      <c r="D16" s="13" t="s">
        <v>62</v>
      </c>
      <c r="E16" s="13" t="s">
        <v>63</v>
      </c>
      <c r="F16" s="14" t="s">
        <v>42</v>
      </c>
      <c r="G16" s="14" t="s">
        <v>43</v>
      </c>
      <c r="H16" s="13" t="s">
        <v>42</v>
      </c>
      <c r="I16" s="14">
        <v>43</v>
      </c>
      <c r="J16" s="15">
        <v>29</v>
      </c>
      <c r="K16" s="15">
        <f t="shared" si="0"/>
        <v>14</v>
      </c>
      <c r="L16" s="15">
        <f t="shared" si="1"/>
        <v>53.75</v>
      </c>
      <c r="M16" s="15">
        <f t="shared" si="2"/>
        <v>17.9166666666667</v>
      </c>
      <c r="N16" s="16">
        <f t="shared" si="3"/>
        <v>71.6666666666667</v>
      </c>
      <c r="O16" s="17">
        <f t="shared" si="4"/>
        <v>5.73333333333333</v>
      </c>
      <c r="P16" s="15">
        <v>31</v>
      </c>
      <c r="Q16" s="15">
        <f t="shared" si="5"/>
        <v>11</v>
      </c>
      <c r="R16" s="15">
        <f t="shared" si="6"/>
        <v>20</v>
      </c>
      <c r="S16" s="15">
        <f t="shared" si="7"/>
        <v>25</v>
      </c>
      <c r="T16" s="15">
        <f t="shared" si="8"/>
        <v>51.6666666666667</v>
      </c>
      <c r="U16" s="15">
        <f t="shared" si="9"/>
        <v>38</v>
      </c>
      <c r="V16" s="18">
        <f t="shared" si="10"/>
        <v>13.6666666666667</v>
      </c>
      <c r="W16" s="15">
        <f t="shared" si="11"/>
        <v>4.13333333333333</v>
      </c>
      <c r="X16" s="15">
        <v>56</v>
      </c>
      <c r="Y16" s="17">
        <f t="shared" si="12"/>
        <v>28</v>
      </c>
      <c r="Z16" s="17">
        <f t="shared" si="13"/>
        <v>28</v>
      </c>
      <c r="AA16" s="15">
        <f t="shared" si="14"/>
        <v>5.6</v>
      </c>
      <c r="AB16" s="15">
        <f t="shared" si="15"/>
        <v>52.5</v>
      </c>
      <c r="AC16" s="15">
        <f t="shared" si="16"/>
        <v>17.5</v>
      </c>
      <c r="AD16" s="15">
        <f t="shared" si="17"/>
        <v>70</v>
      </c>
      <c r="AE16" s="19">
        <f t="shared" si="18"/>
        <v>54</v>
      </c>
      <c r="AF16" s="20">
        <v>90</v>
      </c>
      <c r="AG16" s="20">
        <f t="shared" si="19"/>
        <v>5.4</v>
      </c>
      <c r="AH16" s="20">
        <f t="shared" si="20"/>
        <v>90</v>
      </c>
      <c r="AI16" s="20">
        <f t="shared" si="21"/>
        <v>4.5</v>
      </c>
      <c r="AJ16" s="20">
        <f t="shared" si="22"/>
        <v>90</v>
      </c>
      <c r="AK16" s="20">
        <f t="shared" si="23"/>
        <v>4.5</v>
      </c>
      <c r="AL16" s="20">
        <f t="shared" si="24"/>
        <v>15.4666666666667</v>
      </c>
      <c r="AM16" s="20">
        <f t="shared" si="25"/>
        <v>29.8666666666667</v>
      </c>
    </row>
    <row r="17" ht="49.5" spans="3:39">
      <c r="C17" s="12">
        <v>12</v>
      </c>
      <c r="D17" s="13" t="s">
        <v>64</v>
      </c>
      <c r="E17" s="13" t="s">
        <v>65</v>
      </c>
      <c r="F17" s="14" t="s">
        <v>43</v>
      </c>
      <c r="G17" s="14" t="s">
        <v>43</v>
      </c>
      <c r="H17" s="13" t="s">
        <v>43</v>
      </c>
      <c r="I17" s="14">
        <v>48</v>
      </c>
      <c r="J17" s="15">
        <v>30</v>
      </c>
      <c r="K17" s="15">
        <f t="shared" si="0"/>
        <v>18</v>
      </c>
      <c r="L17" s="15">
        <f t="shared" si="1"/>
        <v>60</v>
      </c>
      <c r="M17" s="15">
        <f t="shared" si="2"/>
        <v>20</v>
      </c>
      <c r="N17" s="16">
        <f t="shared" si="3"/>
        <v>80</v>
      </c>
      <c r="O17" s="17">
        <f t="shared" si="4"/>
        <v>6.4</v>
      </c>
      <c r="P17" s="15">
        <v>53</v>
      </c>
      <c r="Q17" s="15">
        <f t="shared" si="5"/>
        <v>18</v>
      </c>
      <c r="R17" s="15">
        <f t="shared" si="6"/>
        <v>35</v>
      </c>
      <c r="S17" s="15">
        <f t="shared" si="7"/>
        <v>36</v>
      </c>
      <c r="T17" s="15">
        <f t="shared" si="8"/>
        <v>88.3333333333333</v>
      </c>
      <c r="U17" s="15">
        <f t="shared" si="9"/>
        <v>66</v>
      </c>
      <c r="V17" s="18">
        <f t="shared" si="10"/>
        <v>22.3333333333333</v>
      </c>
      <c r="W17" s="15">
        <f t="shared" si="11"/>
        <v>7.06666666666667</v>
      </c>
      <c r="X17" s="15">
        <v>76</v>
      </c>
      <c r="Y17" s="17">
        <f t="shared" si="12"/>
        <v>38</v>
      </c>
      <c r="Z17" s="17">
        <f t="shared" si="13"/>
        <v>38</v>
      </c>
      <c r="AA17" s="15">
        <f t="shared" si="14"/>
        <v>7.6</v>
      </c>
      <c r="AB17" s="15">
        <f t="shared" si="15"/>
        <v>71.25</v>
      </c>
      <c r="AC17" s="15">
        <f t="shared" si="16"/>
        <v>23.75</v>
      </c>
      <c r="AD17" s="15">
        <f t="shared" si="17"/>
        <v>95</v>
      </c>
      <c r="AE17" s="19">
        <f t="shared" si="18"/>
        <v>58.8</v>
      </c>
      <c r="AF17" s="20">
        <v>98</v>
      </c>
      <c r="AG17" s="20">
        <f t="shared" si="19"/>
        <v>5.88</v>
      </c>
      <c r="AH17" s="20">
        <f t="shared" si="20"/>
        <v>98</v>
      </c>
      <c r="AI17" s="20">
        <f t="shared" si="21"/>
        <v>4.9</v>
      </c>
      <c r="AJ17" s="20">
        <f t="shared" si="22"/>
        <v>98</v>
      </c>
      <c r="AK17" s="20">
        <f t="shared" si="23"/>
        <v>4.9</v>
      </c>
      <c r="AL17" s="20">
        <f t="shared" si="24"/>
        <v>21.0666666666667</v>
      </c>
      <c r="AM17" s="20">
        <f t="shared" si="25"/>
        <v>36.7466666666667</v>
      </c>
    </row>
    <row r="18" ht="33" spans="3:39">
      <c r="C18" s="12">
        <v>13</v>
      </c>
      <c r="D18" s="13" t="s">
        <v>66</v>
      </c>
      <c r="E18" s="13" t="s">
        <v>67</v>
      </c>
      <c r="F18" s="14" t="s">
        <v>42</v>
      </c>
      <c r="G18" s="14" t="s">
        <v>42</v>
      </c>
      <c r="H18" s="13" t="s">
        <v>42</v>
      </c>
      <c r="I18" s="14">
        <v>53</v>
      </c>
      <c r="J18" s="15">
        <v>34</v>
      </c>
      <c r="K18" s="15">
        <f t="shared" si="0"/>
        <v>19</v>
      </c>
      <c r="L18" s="15">
        <f t="shared" si="1"/>
        <v>66.25</v>
      </c>
      <c r="M18" s="15">
        <f t="shared" si="2"/>
        <v>22.0833333333333</v>
      </c>
      <c r="N18" s="16">
        <f t="shared" si="3"/>
        <v>88.3333333333333</v>
      </c>
      <c r="O18" s="17">
        <f t="shared" si="4"/>
        <v>7.06666666666667</v>
      </c>
      <c r="P18" s="15">
        <v>56</v>
      </c>
      <c r="Q18" s="15">
        <f t="shared" si="5"/>
        <v>19</v>
      </c>
      <c r="R18" s="15">
        <f t="shared" si="6"/>
        <v>37</v>
      </c>
      <c r="S18" s="15">
        <f t="shared" si="7"/>
        <v>38</v>
      </c>
      <c r="T18" s="15">
        <f t="shared" si="8"/>
        <v>93.3333333333333</v>
      </c>
      <c r="U18" s="15">
        <f t="shared" si="9"/>
        <v>70</v>
      </c>
      <c r="V18" s="18">
        <f t="shared" si="10"/>
        <v>23.3333333333333</v>
      </c>
      <c r="W18" s="15">
        <f t="shared" si="11"/>
        <v>7.46666666666667</v>
      </c>
      <c r="X18" s="15">
        <v>40</v>
      </c>
      <c r="Y18" s="17">
        <f t="shared" si="12"/>
        <v>20</v>
      </c>
      <c r="Z18" s="17">
        <f t="shared" si="13"/>
        <v>20</v>
      </c>
      <c r="AA18" s="15">
        <f t="shared" si="14"/>
        <v>4</v>
      </c>
      <c r="AB18" s="15">
        <f t="shared" si="15"/>
        <v>37.5</v>
      </c>
      <c r="AC18" s="15">
        <f t="shared" si="16"/>
        <v>12.5</v>
      </c>
      <c r="AD18" s="15">
        <f t="shared" si="17"/>
        <v>50</v>
      </c>
      <c r="AE18" s="19">
        <f t="shared" si="18"/>
        <v>56</v>
      </c>
      <c r="AF18" s="20">
        <f>MAX(N18,T18,AD18)</f>
        <v>93.3333333333333</v>
      </c>
      <c r="AG18" s="20">
        <f t="shared" si="19"/>
        <v>5.6</v>
      </c>
      <c r="AH18" s="20">
        <f t="shared" si="20"/>
        <v>93.3333333333333</v>
      </c>
      <c r="AI18" s="20">
        <f t="shared" si="21"/>
        <v>4.66666666666667</v>
      </c>
      <c r="AJ18" s="20">
        <f t="shared" si="22"/>
        <v>93.3333333333333</v>
      </c>
      <c r="AK18" s="20">
        <f t="shared" si="23"/>
        <v>4.66666666666667</v>
      </c>
      <c r="AL18" s="20">
        <f t="shared" si="24"/>
        <v>18.5333333333333</v>
      </c>
      <c r="AM18" s="20">
        <f t="shared" si="25"/>
        <v>33.4666666666667</v>
      </c>
    </row>
    <row r="19" ht="33" spans="3:39">
      <c r="C19" s="12">
        <v>14</v>
      </c>
      <c r="D19" s="13" t="s">
        <v>68</v>
      </c>
      <c r="E19" s="13" t="s">
        <v>69</v>
      </c>
      <c r="F19" s="14" t="s">
        <v>42</v>
      </c>
      <c r="G19" s="14" t="s">
        <v>42</v>
      </c>
      <c r="H19" s="13" t="s">
        <v>42</v>
      </c>
      <c r="I19" s="14">
        <v>51</v>
      </c>
      <c r="J19" s="15">
        <v>33</v>
      </c>
      <c r="K19" s="15">
        <f t="shared" si="0"/>
        <v>18</v>
      </c>
      <c r="L19" s="15">
        <f t="shared" si="1"/>
        <v>63.75</v>
      </c>
      <c r="M19" s="15">
        <f t="shared" si="2"/>
        <v>21.25</v>
      </c>
      <c r="N19" s="16">
        <f t="shared" si="3"/>
        <v>85</v>
      </c>
      <c r="O19" s="17">
        <f t="shared" si="4"/>
        <v>6.8</v>
      </c>
      <c r="P19" s="15">
        <v>58</v>
      </c>
      <c r="Q19" s="15">
        <f t="shared" si="5"/>
        <v>20</v>
      </c>
      <c r="R19" s="15">
        <f t="shared" si="6"/>
        <v>38</v>
      </c>
      <c r="S19" s="15">
        <f t="shared" si="7"/>
        <v>38</v>
      </c>
      <c r="T19" s="15">
        <f t="shared" si="8"/>
        <v>96.6666666666667</v>
      </c>
      <c r="U19" s="15">
        <f t="shared" si="9"/>
        <v>72</v>
      </c>
      <c r="V19" s="18">
        <f t="shared" si="10"/>
        <v>24.6666666666667</v>
      </c>
      <c r="W19" s="15">
        <f t="shared" si="11"/>
        <v>7.73333333333333</v>
      </c>
      <c r="X19" s="15">
        <v>70</v>
      </c>
      <c r="Y19" s="17">
        <f t="shared" si="12"/>
        <v>35</v>
      </c>
      <c r="Z19" s="17">
        <f t="shared" si="13"/>
        <v>35</v>
      </c>
      <c r="AA19" s="15">
        <f t="shared" si="14"/>
        <v>7</v>
      </c>
      <c r="AB19" s="15">
        <f t="shared" si="15"/>
        <v>65.625</v>
      </c>
      <c r="AC19" s="15">
        <f t="shared" si="16"/>
        <v>21.875</v>
      </c>
      <c r="AD19" s="15">
        <f t="shared" si="17"/>
        <v>87.5</v>
      </c>
      <c r="AE19" s="19">
        <f t="shared" si="18"/>
        <v>60</v>
      </c>
      <c r="AF19" s="20">
        <v>100</v>
      </c>
      <c r="AG19" s="20">
        <f t="shared" si="19"/>
        <v>6</v>
      </c>
      <c r="AH19" s="20">
        <f t="shared" si="20"/>
        <v>100</v>
      </c>
      <c r="AI19" s="20">
        <f t="shared" si="21"/>
        <v>5</v>
      </c>
      <c r="AJ19" s="20">
        <f t="shared" si="22"/>
        <v>100</v>
      </c>
      <c r="AK19" s="20">
        <f t="shared" si="23"/>
        <v>5</v>
      </c>
      <c r="AL19" s="20">
        <f t="shared" si="24"/>
        <v>21.5333333333333</v>
      </c>
      <c r="AM19" s="20">
        <f t="shared" si="25"/>
        <v>37.5333333333333</v>
      </c>
    </row>
    <row r="20" ht="33" spans="3:39">
      <c r="C20" s="12">
        <v>15</v>
      </c>
      <c r="D20" s="13" t="s">
        <v>70</v>
      </c>
      <c r="E20" s="13" t="s">
        <v>71</v>
      </c>
      <c r="F20" s="14" t="s">
        <v>43</v>
      </c>
      <c r="G20" s="14" t="s">
        <v>42</v>
      </c>
      <c r="H20" s="13" t="s">
        <v>43</v>
      </c>
      <c r="I20" s="14">
        <v>43</v>
      </c>
      <c r="J20" s="15">
        <v>29</v>
      </c>
      <c r="K20" s="15">
        <f t="shared" si="0"/>
        <v>14</v>
      </c>
      <c r="L20" s="15">
        <f t="shared" si="1"/>
        <v>53.75</v>
      </c>
      <c r="M20" s="15">
        <f t="shared" si="2"/>
        <v>17.9166666666667</v>
      </c>
      <c r="N20" s="16">
        <f t="shared" si="3"/>
        <v>71.6666666666667</v>
      </c>
      <c r="O20" s="17">
        <f t="shared" si="4"/>
        <v>5.73333333333333</v>
      </c>
      <c r="P20" s="15">
        <v>39</v>
      </c>
      <c r="Q20" s="15">
        <f t="shared" si="5"/>
        <v>13</v>
      </c>
      <c r="R20" s="15">
        <f t="shared" si="6"/>
        <v>26</v>
      </c>
      <c r="S20" s="15">
        <f t="shared" si="7"/>
        <v>27</v>
      </c>
      <c r="T20" s="15">
        <f t="shared" si="8"/>
        <v>65</v>
      </c>
      <c r="U20" s="15">
        <f t="shared" si="9"/>
        <v>48</v>
      </c>
      <c r="V20" s="18">
        <f t="shared" si="10"/>
        <v>17</v>
      </c>
      <c r="W20" s="15">
        <f t="shared" si="11"/>
        <v>5.2</v>
      </c>
      <c r="X20" s="15">
        <v>73</v>
      </c>
      <c r="Y20" s="17">
        <f t="shared" si="12"/>
        <v>36</v>
      </c>
      <c r="Z20" s="17">
        <f t="shared" si="13"/>
        <v>37</v>
      </c>
      <c r="AA20" s="15">
        <f t="shared" si="14"/>
        <v>7.3</v>
      </c>
      <c r="AB20" s="15">
        <f t="shared" si="15"/>
        <v>68.4375</v>
      </c>
      <c r="AC20" s="15">
        <f t="shared" si="16"/>
        <v>22.8125</v>
      </c>
      <c r="AD20" s="15">
        <f t="shared" si="17"/>
        <v>91.25</v>
      </c>
      <c r="AE20" s="19">
        <f t="shared" si="18"/>
        <v>57.6</v>
      </c>
      <c r="AF20" s="20">
        <v>96</v>
      </c>
      <c r="AG20" s="20">
        <f t="shared" si="19"/>
        <v>5.76</v>
      </c>
      <c r="AH20" s="20">
        <f t="shared" si="20"/>
        <v>96</v>
      </c>
      <c r="AI20" s="20">
        <f t="shared" si="21"/>
        <v>4.8</v>
      </c>
      <c r="AJ20" s="20">
        <f t="shared" si="22"/>
        <v>96</v>
      </c>
      <c r="AK20" s="20">
        <f t="shared" si="23"/>
        <v>4.8</v>
      </c>
      <c r="AL20" s="20">
        <f t="shared" si="24"/>
        <v>18.2333333333333</v>
      </c>
      <c r="AM20" s="20">
        <f t="shared" si="25"/>
        <v>33.5933333333333</v>
      </c>
    </row>
    <row r="21" ht="49.5" spans="3:39">
      <c r="C21" s="12">
        <v>16</v>
      </c>
      <c r="D21" s="13" t="s">
        <v>72</v>
      </c>
      <c r="E21" s="13" t="s">
        <v>73</v>
      </c>
      <c r="F21" s="14" t="s">
        <v>43</v>
      </c>
      <c r="G21" s="14" t="s">
        <v>43</v>
      </c>
      <c r="H21" s="13" t="s">
        <v>42</v>
      </c>
      <c r="I21" s="14">
        <v>42</v>
      </c>
      <c r="J21" s="15">
        <v>23</v>
      </c>
      <c r="K21" s="15">
        <f t="shared" si="0"/>
        <v>19</v>
      </c>
      <c r="L21" s="15">
        <f t="shared" si="1"/>
        <v>52.5</v>
      </c>
      <c r="M21" s="15">
        <f t="shared" si="2"/>
        <v>17.5</v>
      </c>
      <c r="N21" s="16">
        <f t="shared" si="3"/>
        <v>70</v>
      </c>
      <c r="O21" s="17">
        <f t="shared" si="4"/>
        <v>5.6</v>
      </c>
      <c r="P21" s="15">
        <v>46</v>
      </c>
      <c r="Q21" s="15">
        <f t="shared" si="5"/>
        <v>16</v>
      </c>
      <c r="R21" s="15">
        <f t="shared" si="6"/>
        <v>30</v>
      </c>
      <c r="S21" s="15">
        <f t="shared" si="7"/>
        <v>35</v>
      </c>
      <c r="T21" s="15">
        <f t="shared" si="8"/>
        <v>76.6666666666667</v>
      </c>
      <c r="U21" s="15">
        <f t="shared" si="9"/>
        <v>57</v>
      </c>
      <c r="V21" s="18">
        <f t="shared" si="10"/>
        <v>19.6666666666667</v>
      </c>
      <c r="W21" s="15">
        <f t="shared" si="11"/>
        <v>6.13333333333333</v>
      </c>
      <c r="X21" s="15">
        <v>66</v>
      </c>
      <c r="Y21" s="17">
        <f t="shared" si="12"/>
        <v>33</v>
      </c>
      <c r="Z21" s="17">
        <f t="shared" si="13"/>
        <v>33</v>
      </c>
      <c r="AA21" s="15">
        <f t="shared" si="14"/>
        <v>6.6</v>
      </c>
      <c r="AB21" s="15">
        <f t="shared" si="15"/>
        <v>61.875</v>
      </c>
      <c r="AC21" s="15">
        <f t="shared" si="16"/>
        <v>20.625</v>
      </c>
      <c r="AD21" s="15">
        <f t="shared" si="17"/>
        <v>82.5</v>
      </c>
      <c r="AE21" s="19">
        <f t="shared" si="18"/>
        <v>54</v>
      </c>
      <c r="AF21" s="20">
        <v>90</v>
      </c>
      <c r="AG21" s="20">
        <f t="shared" si="19"/>
        <v>5.4</v>
      </c>
      <c r="AH21" s="20">
        <f t="shared" si="20"/>
        <v>90</v>
      </c>
      <c r="AI21" s="20">
        <f t="shared" si="21"/>
        <v>4.5</v>
      </c>
      <c r="AJ21" s="20">
        <f t="shared" si="22"/>
        <v>90</v>
      </c>
      <c r="AK21" s="20">
        <f t="shared" si="23"/>
        <v>4.5</v>
      </c>
      <c r="AL21" s="20">
        <f t="shared" si="24"/>
        <v>18.3333333333333</v>
      </c>
      <c r="AM21" s="20">
        <f t="shared" si="25"/>
        <v>32.7333333333333</v>
      </c>
    </row>
    <row r="22" ht="49.5" spans="3:39">
      <c r="C22" s="12">
        <v>17</v>
      </c>
      <c r="D22" s="13" t="s">
        <v>74</v>
      </c>
      <c r="E22" s="13" t="s">
        <v>75</v>
      </c>
      <c r="F22" s="14" t="s">
        <v>43</v>
      </c>
      <c r="G22" s="14" t="s">
        <v>43</v>
      </c>
      <c r="H22" s="13" t="s">
        <v>42</v>
      </c>
      <c r="I22" s="14">
        <v>51</v>
      </c>
      <c r="J22" s="15">
        <v>33</v>
      </c>
      <c r="K22" s="15">
        <f t="shared" si="0"/>
        <v>18</v>
      </c>
      <c r="L22" s="15">
        <f t="shared" si="1"/>
        <v>63.75</v>
      </c>
      <c r="M22" s="15">
        <f t="shared" si="2"/>
        <v>21.25</v>
      </c>
      <c r="N22" s="16">
        <f t="shared" si="3"/>
        <v>85</v>
      </c>
      <c r="O22" s="17">
        <f t="shared" si="4"/>
        <v>6.8</v>
      </c>
      <c r="P22" s="15">
        <v>51</v>
      </c>
      <c r="Q22" s="15">
        <f t="shared" si="5"/>
        <v>17</v>
      </c>
      <c r="R22" s="15">
        <f t="shared" si="6"/>
        <v>34</v>
      </c>
      <c r="S22" s="15">
        <f t="shared" si="7"/>
        <v>35</v>
      </c>
      <c r="T22" s="15">
        <f t="shared" si="8"/>
        <v>85</v>
      </c>
      <c r="U22" s="15">
        <f t="shared" si="9"/>
        <v>63</v>
      </c>
      <c r="V22" s="18">
        <f t="shared" si="10"/>
        <v>22</v>
      </c>
      <c r="W22" s="15">
        <f t="shared" si="11"/>
        <v>6.8</v>
      </c>
      <c r="X22" s="15">
        <v>73</v>
      </c>
      <c r="Y22" s="17">
        <f t="shared" si="12"/>
        <v>36</v>
      </c>
      <c r="Z22" s="17">
        <f t="shared" si="13"/>
        <v>37</v>
      </c>
      <c r="AA22" s="15">
        <f t="shared" si="14"/>
        <v>7.3</v>
      </c>
      <c r="AB22" s="15">
        <f t="shared" si="15"/>
        <v>68.4375</v>
      </c>
      <c r="AC22" s="15">
        <f t="shared" si="16"/>
        <v>22.8125</v>
      </c>
      <c r="AD22" s="15">
        <f t="shared" si="17"/>
        <v>91.25</v>
      </c>
      <c r="AE22" s="19">
        <f t="shared" si="18"/>
        <v>57.6</v>
      </c>
      <c r="AF22" s="20">
        <v>96</v>
      </c>
      <c r="AG22" s="20">
        <f t="shared" si="19"/>
        <v>5.76</v>
      </c>
      <c r="AH22" s="20">
        <f t="shared" si="20"/>
        <v>96</v>
      </c>
      <c r="AI22" s="20">
        <f t="shared" si="21"/>
        <v>4.8</v>
      </c>
      <c r="AJ22" s="20">
        <f t="shared" si="22"/>
        <v>96</v>
      </c>
      <c r="AK22" s="20">
        <f t="shared" si="23"/>
        <v>4.8</v>
      </c>
      <c r="AL22" s="20">
        <f t="shared" si="24"/>
        <v>20.9</v>
      </c>
      <c r="AM22" s="20">
        <f t="shared" si="25"/>
        <v>36.26</v>
      </c>
    </row>
    <row r="23" ht="49.5" spans="3:39">
      <c r="C23" s="12">
        <v>18</v>
      </c>
      <c r="D23" s="13" t="s">
        <v>76</v>
      </c>
      <c r="E23" s="13" t="s">
        <v>77</v>
      </c>
      <c r="F23" s="14" t="s">
        <v>42</v>
      </c>
      <c r="G23" s="14" t="s">
        <v>42</v>
      </c>
      <c r="H23" s="13" t="s">
        <v>43</v>
      </c>
      <c r="I23" s="14">
        <v>53</v>
      </c>
      <c r="J23" s="15">
        <v>34</v>
      </c>
      <c r="K23" s="15">
        <f t="shared" si="0"/>
        <v>19</v>
      </c>
      <c r="L23" s="15">
        <f t="shared" si="1"/>
        <v>66.25</v>
      </c>
      <c r="M23" s="15">
        <f t="shared" si="2"/>
        <v>22.0833333333333</v>
      </c>
      <c r="N23" s="16">
        <f t="shared" si="3"/>
        <v>88.3333333333333</v>
      </c>
      <c r="O23" s="17">
        <f t="shared" si="4"/>
        <v>7.06666666666667</v>
      </c>
      <c r="P23" s="15">
        <v>48</v>
      </c>
      <c r="Q23" s="15">
        <f t="shared" si="5"/>
        <v>16</v>
      </c>
      <c r="R23" s="15">
        <f t="shared" si="6"/>
        <v>32</v>
      </c>
      <c r="S23" s="15">
        <f t="shared" si="7"/>
        <v>35</v>
      </c>
      <c r="T23" s="15">
        <f t="shared" si="8"/>
        <v>80</v>
      </c>
      <c r="U23" s="15">
        <f t="shared" si="9"/>
        <v>60</v>
      </c>
      <c r="V23" s="18">
        <f t="shared" si="10"/>
        <v>20</v>
      </c>
      <c r="W23" s="15">
        <f t="shared" si="11"/>
        <v>6.4</v>
      </c>
      <c r="X23" s="15">
        <v>73</v>
      </c>
      <c r="Y23" s="17">
        <f t="shared" si="12"/>
        <v>36</v>
      </c>
      <c r="Z23" s="17">
        <f t="shared" si="13"/>
        <v>37</v>
      </c>
      <c r="AA23" s="15">
        <f t="shared" si="14"/>
        <v>7.3</v>
      </c>
      <c r="AB23" s="15">
        <f t="shared" si="15"/>
        <v>68.4375</v>
      </c>
      <c r="AC23" s="15">
        <f t="shared" si="16"/>
        <v>22.8125</v>
      </c>
      <c r="AD23" s="15">
        <f t="shared" si="17"/>
        <v>91.25</v>
      </c>
      <c r="AE23" s="19">
        <f t="shared" si="18"/>
        <v>57.6</v>
      </c>
      <c r="AF23" s="20">
        <v>96</v>
      </c>
      <c r="AG23" s="20">
        <f t="shared" si="19"/>
        <v>5.76</v>
      </c>
      <c r="AH23" s="20">
        <f t="shared" si="20"/>
        <v>96</v>
      </c>
      <c r="AI23" s="20">
        <f t="shared" si="21"/>
        <v>4.8</v>
      </c>
      <c r="AJ23" s="20">
        <f t="shared" si="22"/>
        <v>96</v>
      </c>
      <c r="AK23" s="20">
        <f t="shared" si="23"/>
        <v>4.8</v>
      </c>
      <c r="AL23" s="20">
        <f t="shared" si="24"/>
        <v>20.7666666666667</v>
      </c>
      <c r="AM23" s="20">
        <f t="shared" si="25"/>
        <v>36.1266666666667</v>
      </c>
    </row>
    <row r="24" ht="49.5" spans="3:39">
      <c r="C24" s="12">
        <v>19</v>
      </c>
      <c r="D24" s="13" t="s">
        <v>78</v>
      </c>
      <c r="E24" s="13" t="s">
        <v>79</v>
      </c>
      <c r="F24" s="14" t="s">
        <v>43</v>
      </c>
      <c r="G24" s="14" t="s">
        <v>43</v>
      </c>
      <c r="H24" s="13" t="s">
        <v>43</v>
      </c>
      <c r="I24" s="14">
        <v>57</v>
      </c>
      <c r="J24" s="15">
        <v>38</v>
      </c>
      <c r="K24" s="15">
        <f t="shared" si="0"/>
        <v>19</v>
      </c>
      <c r="L24" s="15">
        <f t="shared" si="1"/>
        <v>71.25</v>
      </c>
      <c r="M24" s="15">
        <f t="shared" si="2"/>
        <v>23.75</v>
      </c>
      <c r="N24" s="16">
        <f t="shared" si="3"/>
        <v>95</v>
      </c>
      <c r="O24" s="17">
        <f t="shared" si="4"/>
        <v>7.6</v>
      </c>
      <c r="P24" s="15">
        <v>38</v>
      </c>
      <c r="Q24" s="15">
        <f t="shared" si="5"/>
        <v>13</v>
      </c>
      <c r="R24" s="15">
        <f t="shared" si="6"/>
        <v>25</v>
      </c>
      <c r="S24" s="15">
        <f t="shared" si="7"/>
        <v>32</v>
      </c>
      <c r="T24" s="15">
        <f t="shared" si="8"/>
        <v>63.3333333333333</v>
      </c>
      <c r="U24" s="15">
        <f t="shared" si="9"/>
        <v>47</v>
      </c>
      <c r="V24" s="18">
        <f t="shared" si="10"/>
        <v>16.3333333333333</v>
      </c>
      <c r="W24" s="15">
        <f t="shared" si="11"/>
        <v>5.06666666666667</v>
      </c>
      <c r="X24" s="15">
        <v>59</v>
      </c>
      <c r="Y24" s="17">
        <f t="shared" si="12"/>
        <v>29</v>
      </c>
      <c r="Z24" s="17">
        <f t="shared" si="13"/>
        <v>30</v>
      </c>
      <c r="AA24" s="15">
        <f t="shared" si="14"/>
        <v>5.9</v>
      </c>
      <c r="AB24" s="15">
        <f t="shared" si="15"/>
        <v>55.3125</v>
      </c>
      <c r="AC24" s="15">
        <f t="shared" si="16"/>
        <v>18.4375</v>
      </c>
      <c r="AD24" s="15">
        <f t="shared" si="17"/>
        <v>73.75</v>
      </c>
      <c r="AE24" s="19">
        <f t="shared" si="18"/>
        <v>55.2</v>
      </c>
      <c r="AF24" s="20">
        <v>92</v>
      </c>
      <c r="AG24" s="20">
        <f t="shared" si="19"/>
        <v>5.52</v>
      </c>
      <c r="AH24" s="20">
        <f t="shared" si="20"/>
        <v>92</v>
      </c>
      <c r="AI24" s="20">
        <f t="shared" si="21"/>
        <v>4.6</v>
      </c>
      <c r="AJ24" s="20">
        <f t="shared" si="22"/>
        <v>92</v>
      </c>
      <c r="AK24" s="20">
        <f t="shared" si="23"/>
        <v>4.6</v>
      </c>
      <c r="AL24" s="20">
        <f t="shared" si="24"/>
        <v>18.5666666666667</v>
      </c>
      <c r="AM24" s="20">
        <f t="shared" si="25"/>
        <v>33.2866666666667</v>
      </c>
    </row>
    <row r="25" ht="33" spans="3:39">
      <c r="C25" s="12">
        <v>20</v>
      </c>
      <c r="D25" s="13" t="s">
        <v>80</v>
      </c>
      <c r="E25" s="13" t="s">
        <v>81</v>
      </c>
      <c r="F25" s="14" t="s">
        <v>42</v>
      </c>
      <c r="G25" s="14" t="s">
        <v>42</v>
      </c>
      <c r="H25" s="13" t="s">
        <v>42</v>
      </c>
      <c r="I25" s="14">
        <v>38</v>
      </c>
      <c r="J25" s="15">
        <v>31</v>
      </c>
      <c r="K25" s="15">
        <f t="shared" si="0"/>
        <v>7</v>
      </c>
      <c r="L25" s="15">
        <f t="shared" si="1"/>
        <v>47.5</v>
      </c>
      <c r="M25" s="15">
        <f t="shared" si="2"/>
        <v>15.8333333333333</v>
      </c>
      <c r="N25" s="16">
        <f t="shared" si="3"/>
        <v>63.3333333333333</v>
      </c>
      <c r="O25" s="17">
        <f t="shared" si="4"/>
        <v>5.06666666666667</v>
      </c>
      <c r="P25" s="15">
        <v>37</v>
      </c>
      <c r="Q25" s="15">
        <f t="shared" si="5"/>
        <v>13</v>
      </c>
      <c r="R25" s="15">
        <f t="shared" si="6"/>
        <v>24</v>
      </c>
      <c r="S25" s="15">
        <f t="shared" si="7"/>
        <v>20</v>
      </c>
      <c r="T25" s="15">
        <f t="shared" si="8"/>
        <v>61.6666666666667</v>
      </c>
      <c r="U25" s="15">
        <f t="shared" si="9"/>
        <v>46</v>
      </c>
      <c r="V25" s="18">
        <f t="shared" si="10"/>
        <v>15.6666666666667</v>
      </c>
      <c r="W25" s="15">
        <f t="shared" si="11"/>
        <v>4.93333333333333</v>
      </c>
      <c r="X25" s="15">
        <v>65</v>
      </c>
      <c r="Y25" s="17">
        <f t="shared" si="12"/>
        <v>32</v>
      </c>
      <c r="Z25" s="17">
        <f t="shared" si="13"/>
        <v>33</v>
      </c>
      <c r="AA25" s="15">
        <f t="shared" si="14"/>
        <v>6.5</v>
      </c>
      <c r="AB25" s="15">
        <f t="shared" si="15"/>
        <v>60.9375</v>
      </c>
      <c r="AC25" s="15">
        <f t="shared" si="16"/>
        <v>20.3125</v>
      </c>
      <c r="AD25" s="15">
        <f t="shared" si="17"/>
        <v>81.25</v>
      </c>
      <c r="AE25" s="19">
        <f t="shared" si="18"/>
        <v>54</v>
      </c>
      <c r="AF25" s="20">
        <v>90</v>
      </c>
      <c r="AG25" s="20">
        <f t="shared" si="19"/>
        <v>5.4</v>
      </c>
      <c r="AH25" s="20">
        <f t="shared" si="20"/>
        <v>90</v>
      </c>
      <c r="AI25" s="20">
        <f t="shared" si="21"/>
        <v>4.5</v>
      </c>
      <c r="AJ25" s="20">
        <f t="shared" si="22"/>
        <v>90</v>
      </c>
      <c r="AK25" s="20">
        <f t="shared" si="23"/>
        <v>4.5</v>
      </c>
      <c r="AL25" s="20">
        <f t="shared" si="24"/>
        <v>16.5</v>
      </c>
      <c r="AM25" s="20">
        <f t="shared" si="25"/>
        <v>30.9</v>
      </c>
    </row>
    <row r="26" ht="49.5" spans="3:39">
      <c r="C26" s="12">
        <v>21</v>
      </c>
      <c r="D26" s="13" t="s">
        <v>82</v>
      </c>
      <c r="E26" s="13" t="s">
        <v>83</v>
      </c>
      <c r="F26" s="14" t="s">
        <v>42</v>
      </c>
      <c r="G26" s="14" t="s">
        <v>42</v>
      </c>
      <c r="H26" s="13" t="s">
        <v>42</v>
      </c>
      <c r="I26" s="14">
        <v>32</v>
      </c>
      <c r="J26" s="15">
        <v>23</v>
      </c>
      <c r="K26" s="15">
        <f t="shared" si="0"/>
        <v>9</v>
      </c>
      <c r="L26" s="15">
        <f t="shared" si="1"/>
        <v>40</v>
      </c>
      <c r="M26" s="15">
        <f t="shared" si="2"/>
        <v>13.3333333333333</v>
      </c>
      <c r="N26" s="16">
        <f t="shared" si="3"/>
        <v>53.3333333333333</v>
      </c>
      <c r="O26" s="17">
        <f t="shared" si="4"/>
        <v>4.26666666666667</v>
      </c>
      <c r="P26" s="15">
        <v>49</v>
      </c>
      <c r="Q26" s="15">
        <f t="shared" si="5"/>
        <v>17</v>
      </c>
      <c r="R26" s="15">
        <f t="shared" si="6"/>
        <v>32</v>
      </c>
      <c r="S26" s="15">
        <f t="shared" si="7"/>
        <v>26</v>
      </c>
      <c r="T26" s="15">
        <f t="shared" si="8"/>
        <v>81.6666666666667</v>
      </c>
      <c r="U26" s="15">
        <f t="shared" si="9"/>
        <v>61</v>
      </c>
      <c r="V26" s="18">
        <f t="shared" si="10"/>
        <v>20.6666666666667</v>
      </c>
      <c r="W26" s="15">
        <f t="shared" si="11"/>
        <v>6.53333333333333</v>
      </c>
      <c r="X26" s="15">
        <v>61</v>
      </c>
      <c r="Y26" s="17">
        <f t="shared" si="12"/>
        <v>30</v>
      </c>
      <c r="Z26" s="17">
        <f t="shared" si="13"/>
        <v>31</v>
      </c>
      <c r="AA26" s="15">
        <f t="shared" si="14"/>
        <v>6.1</v>
      </c>
      <c r="AB26" s="15">
        <f t="shared" si="15"/>
        <v>57.1875</v>
      </c>
      <c r="AC26" s="15">
        <f t="shared" si="16"/>
        <v>19.0625</v>
      </c>
      <c r="AD26" s="15">
        <f t="shared" si="17"/>
        <v>76.25</v>
      </c>
      <c r="AE26" s="19">
        <f t="shared" si="18"/>
        <v>55.2</v>
      </c>
      <c r="AF26" s="20">
        <v>92</v>
      </c>
      <c r="AG26" s="20">
        <f t="shared" si="19"/>
        <v>5.52</v>
      </c>
      <c r="AH26" s="20">
        <f t="shared" si="20"/>
        <v>92</v>
      </c>
      <c r="AI26" s="20">
        <f t="shared" si="21"/>
        <v>4.6</v>
      </c>
      <c r="AJ26" s="20">
        <f t="shared" si="22"/>
        <v>92</v>
      </c>
      <c r="AK26" s="20">
        <f t="shared" si="23"/>
        <v>4.6</v>
      </c>
      <c r="AL26" s="20">
        <f t="shared" si="24"/>
        <v>16.9</v>
      </c>
      <c r="AM26" s="20">
        <f t="shared" si="25"/>
        <v>31.62</v>
      </c>
    </row>
    <row r="27" ht="49.5" spans="3:39">
      <c r="C27" s="12">
        <v>22</v>
      </c>
      <c r="D27" s="13" t="s">
        <v>84</v>
      </c>
      <c r="E27" s="13" t="s">
        <v>85</v>
      </c>
      <c r="F27" s="14" t="s">
        <v>42</v>
      </c>
      <c r="G27" s="14" t="s">
        <v>43</v>
      </c>
      <c r="H27" s="13" t="s">
        <v>42</v>
      </c>
      <c r="I27" s="14">
        <v>38</v>
      </c>
      <c r="J27" s="15">
        <v>24</v>
      </c>
      <c r="K27" s="15">
        <f t="shared" si="0"/>
        <v>14</v>
      </c>
      <c r="L27" s="15">
        <f t="shared" si="1"/>
        <v>47.5</v>
      </c>
      <c r="M27" s="15">
        <f t="shared" si="2"/>
        <v>15.8333333333333</v>
      </c>
      <c r="N27" s="16">
        <f t="shared" si="3"/>
        <v>63.3333333333333</v>
      </c>
      <c r="O27" s="17">
        <f t="shared" si="4"/>
        <v>5.06666666666667</v>
      </c>
      <c r="P27" s="15">
        <v>53</v>
      </c>
      <c r="Q27" s="15">
        <f t="shared" si="5"/>
        <v>18</v>
      </c>
      <c r="R27" s="15">
        <f t="shared" si="6"/>
        <v>35</v>
      </c>
      <c r="S27" s="15">
        <f t="shared" si="7"/>
        <v>32</v>
      </c>
      <c r="T27" s="15">
        <f t="shared" si="8"/>
        <v>88.3333333333333</v>
      </c>
      <c r="U27" s="15">
        <f t="shared" si="9"/>
        <v>66</v>
      </c>
      <c r="V27" s="18">
        <f t="shared" si="10"/>
        <v>22.3333333333333</v>
      </c>
      <c r="W27" s="15">
        <f t="shared" si="11"/>
        <v>7.06666666666667</v>
      </c>
      <c r="X27" s="15">
        <v>65</v>
      </c>
      <c r="Y27" s="17">
        <f t="shared" si="12"/>
        <v>32</v>
      </c>
      <c r="Z27" s="17">
        <f t="shared" si="13"/>
        <v>33</v>
      </c>
      <c r="AA27" s="15">
        <f t="shared" si="14"/>
        <v>6.5</v>
      </c>
      <c r="AB27" s="15">
        <f t="shared" si="15"/>
        <v>60.9375</v>
      </c>
      <c r="AC27" s="15">
        <f t="shared" si="16"/>
        <v>20.3125</v>
      </c>
      <c r="AD27" s="15">
        <f t="shared" si="17"/>
        <v>81.25</v>
      </c>
      <c r="AE27" s="19">
        <f t="shared" si="18"/>
        <v>57.6</v>
      </c>
      <c r="AF27" s="20">
        <v>96</v>
      </c>
      <c r="AG27" s="20">
        <f t="shared" si="19"/>
        <v>5.76</v>
      </c>
      <c r="AH27" s="20">
        <f t="shared" si="20"/>
        <v>96</v>
      </c>
      <c r="AI27" s="20">
        <f t="shared" si="21"/>
        <v>4.8</v>
      </c>
      <c r="AJ27" s="20">
        <f t="shared" si="22"/>
        <v>96</v>
      </c>
      <c r="AK27" s="20">
        <f t="shared" si="23"/>
        <v>4.8</v>
      </c>
      <c r="AL27" s="20">
        <f t="shared" si="24"/>
        <v>18.6333333333333</v>
      </c>
      <c r="AM27" s="20">
        <f t="shared" si="25"/>
        <v>33.9933333333333</v>
      </c>
    </row>
    <row r="28" ht="115.5" spans="3:39">
      <c r="C28" s="12">
        <v>23</v>
      </c>
      <c r="D28" s="13" t="s">
        <v>86</v>
      </c>
      <c r="E28" s="13" t="s">
        <v>87</v>
      </c>
      <c r="F28" s="14" t="s">
        <v>42</v>
      </c>
      <c r="G28" s="14" t="s">
        <v>42</v>
      </c>
      <c r="H28" s="13" t="s">
        <v>42</v>
      </c>
      <c r="I28" s="14">
        <v>44</v>
      </c>
      <c r="J28" s="15">
        <v>29</v>
      </c>
      <c r="K28" s="15">
        <f t="shared" si="0"/>
        <v>15</v>
      </c>
      <c r="L28" s="15">
        <f t="shared" si="1"/>
        <v>55</v>
      </c>
      <c r="M28" s="15">
        <f t="shared" si="2"/>
        <v>18.3333333333333</v>
      </c>
      <c r="N28" s="16">
        <f t="shared" si="3"/>
        <v>73.3333333333333</v>
      </c>
      <c r="O28" s="17">
        <f t="shared" si="4"/>
        <v>5.86666666666667</v>
      </c>
      <c r="P28" s="15">
        <v>40</v>
      </c>
      <c r="Q28" s="15">
        <f t="shared" si="5"/>
        <v>14</v>
      </c>
      <c r="R28" s="15">
        <f t="shared" si="6"/>
        <v>26</v>
      </c>
      <c r="S28" s="15">
        <f t="shared" si="7"/>
        <v>29</v>
      </c>
      <c r="T28" s="15">
        <f t="shared" si="8"/>
        <v>66.6666666666667</v>
      </c>
      <c r="U28" s="15">
        <f t="shared" si="9"/>
        <v>50</v>
      </c>
      <c r="V28" s="18">
        <f t="shared" si="10"/>
        <v>16.6666666666667</v>
      </c>
      <c r="W28" s="15">
        <f t="shared" si="11"/>
        <v>5.33333333333333</v>
      </c>
      <c r="X28" s="15">
        <v>60</v>
      </c>
      <c r="Y28" s="17">
        <f t="shared" si="12"/>
        <v>30</v>
      </c>
      <c r="Z28" s="17">
        <f t="shared" si="13"/>
        <v>30</v>
      </c>
      <c r="AA28" s="15">
        <f t="shared" si="14"/>
        <v>6</v>
      </c>
      <c r="AB28" s="15">
        <f t="shared" si="15"/>
        <v>56.25</v>
      </c>
      <c r="AC28" s="15">
        <f t="shared" si="16"/>
        <v>18.75</v>
      </c>
      <c r="AD28" s="15">
        <f t="shared" si="17"/>
        <v>75</v>
      </c>
      <c r="AE28" s="19">
        <f t="shared" si="18"/>
        <v>55.2</v>
      </c>
      <c r="AF28" s="20">
        <v>92</v>
      </c>
      <c r="AG28" s="20">
        <f t="shared" si="19"/>
        <v>5.52</v>
      </c>
      <c r="AH28" s="20">
        <f t="shared" si="20"/>
        <v>92</v>
      </c>
      <c r="AI28" s="20">
        <f t="shared" si="21"/>
        <v>4.6</v>
      </c>
      <c r="AJ28" s="20">
        <f t="shared" si="22"/>
        <v>92</v>
      </c>
      <c r="AK28" s="20">
        <f t="shared" si="23"/>
        <v>4.6</v>
      </c>
      <c r="AL28" s="20">
        <f t="shared" si="24"/>
        <v>17.2</v>
      </c>
      <c r="AM28" s="20">
        <f t="shared" si="25"/>
        <v>31.92</v>
      </c>
    </row>
    <row r="29" ht="66" spans="3:39">
      <c r="C29" s="12">
        <v>24</v>
      </c>
      <c r="D29" s="13" t="s">
        <v>88</v>
      </c>
      <c r="E29" s="13" t="s">
        <v>89</v>
      </c>
      <c r="F29" s="14" t="s">
        <v>42</v>
      </c>
      <c r="G29" s="14" t="s">
        <v>42</v>
      </c>
      <c r="H29" s="13" t="s">
        <v>43</v>
      </c>
      <c r="I29" s="14">
        <v>38</v>
      </c>
      <c r="J29" s="15">
        <v>28</v>
      </c>
      <c r="K29" s="15">
        <f t="shared" si="0"/>
        <v>10</v>
      </c>
      <c r="L29" s="15">
        <f t="shared" si="1"/>
        <v>47.5</v>
      </c>
      <c r="M29" s="15">
        <f t="shared" si="2"/>
        <v>15.8333333333333</v>
      </c>
      <c r="N29" s="16">
        <f t="shared" si="3"/>
        <v>63.3333333333333</v>
      </c>
      <c r="O29" s="17">
        <f t="shared" si="4"/>
        <v>5.06666666666667</v>
      </c>
      <c r="P29" s="15">
        <v>51</v>
      </c>
      <c r="Q29" s="15">
        <f t="shared" si="5"/>
        <v>17</v>
      </c>
      <c r="R29" s="15">
        <f t="shared" si="6"/>
        <v>34</v>
      </c>
      <c r="S29" s="15">
        <f t="shared" si="7"/>
        <v>27</v>
      </c>
      <c r="T29" s="15">
        <f t="shared" si="8"/>
        <v>85</v>
      </c>
      <c r="U29" s="15">
        <f t="shared" si="9"/>
        <v>63</v>
      </c>
      <c r="V29" s="18">
        <f t="shared" si="10"/>
        <v>22</v>
      </c>
      <c r="W29" s="15">
        <f t="shared" si="11"/>
        <v>6.8</v>
      </c>
      <c r="X29" s="15">
        <v>60</v>
      </c>
      <c r="Y29" s="17">
        <f t="shared" si="12"/>
        <v>30</v>
      </c>
      <c r="Z29" s="17">
        <f t="shared" si="13"/>
        <v>30</v>
      </c>
      <c r="AA29" s="15">
        <f t="shared" si="14"/>
        <v>6</v>
      </c>
      <c r="AB29" s="15">
        <f t="shared" si="15"/>
        <v>56.25</v>
      </c>
      <c r="AC29" s="15">
        <f t="shared" si="16"/>
        <v>18.75</v>
      </c>
      <c r="AD29" s="15">
        <f t="shared" si="17"/>
        <v>75</v>
      </c>
      <c r="AE29" s="19">
        <f t="shared" si="18"/>
        <v>56.4</v>
      </c>
      <c r="AF29" s="20">
        <v>94</v>
      </c>
      <c r="AG29" s="20">
        <f t="shared" si="19"/>
        <v>5.64</v>
      </c>
      <c r="AH29" s="20">
        <f t="shared" si="20"/>
        <v>94</v>
      </c>
      <c r="AI29" s="20">
        <f t="shared" si="21"/>
        <v>4.7</v>
      </c>
      <c r="AJ29" s="20">
        <f t="shared" si="22"/>
        <v>94</v>
      </c>
      <c r="AK29" s="20">
        <f t="shared" si="23"/>
        <v>4.7</v>
      </c>
      <c r="AL29" s="20">
        <f t="shared" si="24"/>
        <v>17.8666666666667</v>
      </c>
      <c r="AM29" s="20">
        <f t="shared" si="25"/>
        <v>32.9066666666667</v>
      </c>
    </row>
    <row r="30" ht="33" spans="3:39">
      <c r="C30" s="12">
        <v>25</v>
      </c>
      <c r="D30" s="13" t="s">
        <v>90</v>
      </c>
      <c r="E30" s="13" t="s">
        <v>91</v>
      </c>
      <c r="F30" s="14" t="s">
        <v>42</v>
      </c>
      <c r="G30" s="14" t="s">
        <v>42</v>
      </c>
      <c r="H30" s="13" t="s">
        <v>42</v>
      </c>
      <c r="I30" s="14">
        <v>51</v>
      </c>
      <c r="J30" s="15">
        <v>32</v>
      </c>
      <c r="K30" s="15">
        <f t="shared" si="0"/>
        <v>19</v>
      </c>
      <c r="L30" s="15">
        <f t="shared" si="1"/>
        <v>63.75</v>
      </c>
      <c r="M30" s="15">
        <f t="shared" si="2"/>
        <v>21.25</v>
      </c>
      <c r="N30" s="16">
        <f t="shared" si="3"/>
        <v>85</v>
      </c>
      <c r="O30" s="17">
        <f t="shared" si="4"/>
        <v>6.8</v>
      </c>
      <c r="P30" s="15">
        <v>41</v>
      </c>
      <c r="Q30" s="15">
        <f t="shared" si="5"/>
        <v>14</v>
      </c>
      <c r="R30" s="15">
        <f t="shared" si="6"/>
        <v>27</v>
      </c>
      <c r="S30" s="15">
        <f t="shared" si="7"/>
        <v>33</v>
      </c>
      <c r="T30" s="15">
        <f t="shared" si="8"/>
        <v>68.3333333333333</v>
      </c>
      <c r="U30" s="15">
        <f t="shared" si="9"/>
        <v>51</v>
      </c>
      <c r="V30" s="18">
        <f t="shared" si="10"/>
        <v>17.3333333333333</v>
      </c>
      <c r="W30" s="15">
        <f t="shared" si="11"/>
        <v>5.46666666666667</v>
      </c>
      <c r="X30" s="15">
        <v>63</v>
      </c>
      <c r="Y30" s="17">
        <f t="shared" si="12"/>
        <v>31</v>
      </c>
      <c r="Z30" s="17">
        <f t="shared" si="13"/>
        <v>32</v>
      </c>
      <c r="AA30" s="15">
        <f t="shared" si="14"/>
        <v>6.3</v>
      </c>
      <c r="AB30" s="15">
        <f t="shared" si="15"/>
        <v>59.0625</v>
      </c>
      <c r="AC30" s="15">
        <f t="shared" si="16"/>
        <v>19.6875</v>
      </c>
      <c r="AD30" s="15">
        <f t="shared" si="17"/>
        <v>78.75</v>
      </c>
      <c r="AE30" s="19">
        <f t="shared" si="18"/>
        <v>56.4</v>
      </c>
      <c r="AF30" s="20">
        <v>94</v>
      </c>
      <c r="AG30" s="20">
        <f t="shared" si="19"/>
        <v>5.64</v>
      </c>
      <c r="AH30" s="20">
        <f t="shared" si="20"/>
        <v>94</v>
      </c>
      <c r="AI30" s="20">
        <f t="shared" si="21"/>
        <v>4.7</v>
      </c>
      <c r="AJ30" s="20">
        <f t="shared" si="22"/>
        <v>94</v>
      </c>
      <c r="AK30" s="20">
        <f t="shared" si="23"/>
        <v>4.7</v>
      </c>
      <c r="AL30" s="20">
        <f t="shared" si="24"/>
        <v>18.5666666666667</v>
      </c>
      <c r="AM30" s="20">
        <f t="shared" si="25"/>
        <v>33.6066666666667</v>
      </c>
    </row>
    <row r="31" ht="33" spans="3:39">
      <c r="C31" s="12">
        <v>26</v>
      </c>
      <c r="D31" s="13" t="s">
        <v>92</v>
      </c>
      <c r="E31" s="13" t="s">
        <v>93</v>
      </c>
      <c r="F31" s="14" t="s">
        <v>42</v>
      </c>
      <c r="G31" s="14" t="s">
        <v>43</v>
      </c>
      <c r="H31" s="13" t="s">
        <v>43</v>
      </c>
      <c r="I31" s="14">
        <v>45</v>
      </c>
      <c r="J31" s="15">
        <v>30</v>
      </c>
      <c r="K31" s="15">
        <f t="shared" si="0"/>
        <v>15</v>
      </c>
      <c r="L31" s="15">
        <f t="shared" si="1"/>
        <v>56.25</v>
      </c>
      <c r="M31" s="15">
        <f t="shared" si="2"/>
        <v>18.75</v>
      </c>
      <c r="N31" s="16">
        <f t="shared" si="3"/>
        <v>75</v>
      </c>
      <c r="O31" s="17">
        <f t="shared" si="4"/>
        <v>6</v>
      </c>
      <c r="P31" s="15">
        <v>24</v>
      </c>
      <c r="Q31" s="15">
        <f t="shared" si="5"/>
        <v>8</v>
      </c>
      <c r="R31" s="15">
        <f t="shared" si="6"/>
        <v>16</v>
      </c>
      <c r="S31" s="15">
        <f t="shared" si="7"/>
        <v>23</v>
      </c>
      <c r="T31" s="15">
        <f t="shared" si="8"/>
        <v>40</v>
      </c>
      <c r="U31" s="15">
        <f t="shared" si="9"/>
        <v>30</v>
      </c>
      <c r="V31" s="18">
        <f t="shared" si="10"/>
        <v>10</v>
      </c>
      <c r="W31" s="15">
        <f t="shared" si="11"/>
        <v>3.2</v>
      </c>
      <c r="X31" s="15">
        <v>52</v>
      </c>
      <c r="Y31" s="17">
        <f t="shared" si="12"/>
        <v>26</v>
      </c>
      <c r="Z31" s="17">
        <f t="shared" si="13"/>
        <v>26</v>
      </c>
      <c r="AA31" s="15">
        <f t="shared" si="14"/>
        <v>5.2</v>
      </c>
      <c r="AB31" s="15">
        <f t="shared" si="15"/>
        <v>48.75</v>
      </c>
      <c r="AC31" s="15">
        <f t="shared" si="16"/>
        <v>16.25</v>
      </c>
      <c r="AD31" s="15">
        <f t="shared" si="17"/>
        <v>65</v>
      </c>
      <c r="AE31" s="19">
        <f t="shared" si="18"/>
        <v>50.4</v>
      </c>
      <c r="AF31" s="20">
        <v>84</v>
      </c>
      <c r="AG31" s="20">
        <f t="shared" si="19"/>
        <v>5.04</v>
      </c>
      <c r="AH31" s="20">
        <f t="shared" si="20"/>
        <v>84</v>
      </c>
      <c r="AI31" s="20">
        <f t="shared" si="21"/>
        <v>4.2</v>
      </c>
      <c r="AJ31" s="20">
        <f t="shared" si="22"/>
        <v>84</v>
      </c>
      <c r="AK31" s="20">
        <f t="shared" si="23"/>
        <v>4.2</v>
      </c>
      <c r="AL31" s="20">
        <f t="shared" si="24"/>
        <v>14.4</v>
      </c>
      <c r="AM31" s="20">
        <f t="shared" si="25"/>
        <v>27.84</v>
      </c>
    </row>
    <row r="32" ht="49.5" spans="3:39">
      <c r="C32" s="12">
        <v>27</v>
      </c>
      <c r="D32" s="13" t="s">
        <v>94</v>
      </c>
      <c r="E32" s="13" t="s">
        <v>95</v>
      </c>
      <c r="F32" s="14" t="s">
        <v>43</v>
      </c>
      <c r="G32" s="14" t="s">
        <v>43</v>
      </c>
      <c r="H32" s="13" t="s">
        <v>43</v>
      </c>
      <c r="I32" s="14">
        <v>32</v>
      </c>
      <c r="J32" s="15">
        <v>25</v>
      </c>
      <c r="K32" s="15">
        <f t="shared" si="0"/>
        <v>7</v>
      </c>
      <c r="L32" s="15">
        <f t="shared" si="1"/>
        <v>40</v>
      </c>
      <c r="M32" s="15">
        <f t="shared" si="2"/>
        <v>13.3333333333333</v>
      </c>
      <c r="N32" s="16">
        <f t="shared" si="3"/>
        <v>53.3333333333333</v>
      </c>
      <c r="O32" s="17">
        <f t="shared" si="4"/>
        <v>4.26666666666667</v>
      </c>
      <c r="P32" s="15">
        <v>25</v>
      </c>
      <c r="Q32" s="15">
        <f t="shared" si="5"/>
        <v>9</v>
      </c>
      <c r="R32" s="15">
        <f t="shared" si="6"/>
        <v>16</v>
      </c>
      <c r="S32" s="15">
        <f t="shared" si="7"/>
        <v>16</v>
      </c>
      <c r="T32" s="15">
        <f t="shared" si="8"/>
        <v>41.6666666666667</v>
      </c>
      <c r="U32" s="15">
        <f t="shared" si="9"/>
        <v>31</v>
      </c>
      <c r="V32" s="18">
        <f t="shared" si="10"/>
        <v>10.6666666666667</v>
      </c>
      <c r="W32" s="15">
        <f t="shared" si="11"/>
        <v>3.33333333333333</v>
      </c>
      <c r="X32" s="15">
        <v>40</v>
      </c>
      <c r="Y32" s="17">
        <f t="shared" si="12"/>
        <v>20</v>
      </c>
      <c r="Z32" s="17">
        <f t="shared" si="13"/>
        <v>20</v>
      </c>
      <c r="AA32" s="15">
        <f t="shared" si="14"/>
        <v>4</v>
      </c>
      <c r="AB32" s="15">
        <f t="shared" si="15"/>
        <v>37.5</v>
      </c>
      <c r="AC32" s="15">
        <f t="shared" si="16"/>
        <v>12.5</v>
      </c>
      <c r="AD32" s="15">
        <f t="shared" si="17"/>
        <v>50</v>
      </c>
      <c r="AE32" s="19">
        <f t="shared" si="18"/>
        <v>51</v>
      </c>
      <c r="AF32" s="20">
        <v>85</v>
      </c>
      <c r="AG32" s="20">
        <f t="shared" si="19"/>
        <v>5.1</v>
      </c>
      <c r="AH32" s="20">
        <f t="shared" si="20"/>
        <v>85</v>
      </c>
      <c r="AI32" s="20">
        <f t="shared" si="21"/>
        <v>4.25</v>
      </c>
      <c r="AJ32" s="20">
        <f t="shared" si="22"/>
        <v>85</v>
      </c>
      <c r="AK32" s="20">
        <f t="shared" si="23"/>
        <v>4.25</v>
      </c>
      <c r="AL32" s="20">
        <f t="shared" si="24"/>
        <v>11.6</v>
      </c>
      <c r="AM32" s="20">
        <f t="shared" si="25"/>
        <v>25.2</v>
      </c>
    </row>
    <row r="33" ht="49.5" spans="3:39">
      <c r="C33" s="12">
        <v>28</v>
      </c>
      <c r="D33" s="13" t="s">
        <v>96</v>
      </c>
      <c r="E33" s="13" t="s">
        <v>97</v>
      </c>
      <c r="F33" s="14" t="s">
        <v>42</v>
      </c>
      <c r="G33" s="14" t="s">
        <v>43</v>
      </c>
      <c r="H33" s="13" t="s">
        <v>43</v>
      </c>
      <c r="I33" s="14">
        <v>44</v>
      </c>
      <c r="J33" s="15">
        <v>35</v>
      </c>
      <c r="K33" s="15">
        <f t="shared" si="0"/>
        <v>9</v>
      </c>
      <c r="L33" s="15">
        <f t="shared" si="1"/>
        <v>55</v>
      </c>
      <c r="M33" s="15">
        <f t="shared" si="2"/>
        <v>18.3333333333333</v>
      </c>
      <c r="N33" s="16">
        <f t="shared" si="3"/>
        <v>73.3333333333333</v>
      </c>
      <c r="O33" s="17">
        <f t="shared" si="4"/>
        <v>5.86666666666667</v>
      </c>
      <c r="P33" s="15">
        <v>52</v>
      </c>
      <c r="Q33" s="15">
        <f t="shared" si="5"/>
        <v>18</v>
      </c>
      <c r="R33" s="15">
        <f t="shared" si="6"/>
        <v>34</v>
      </c>
      <c r="S33" s="15">
        <f t="shared" si="7"/>
        <v>27</v>
      </c>
      <c r="T33" s="15">
        <f t="shared" si="8"/>
        <v>86.6666666666667</v>
      </c>
      <c r="U33" s="15">
        <f t="shared" si="9"/>
        <v>65</v>
      </c>
      <c r="V33" s="18">
        <f t="shared" si="10"/>
        <v>21.6666666666667</v>
      </c>
      <c r="W33" s="15">
        <f t="shared" si="11"/>
        <v>6.93333333333333</v>
      </c>
      <c r="X33" s="15">
        <v>64</v>
      </c>
      <c r="Y33" s="17">
        <f t="shared" si="12"/>
        <v>32</v>
      </c>
      <c r="Z33" s="17">
        <f t="shared" si="13"/>
        <v>32</v>
      </c>
      <c r="AA33" s="15">
        <f t="shared" si="14"/>
        <v>6.4</v>
      </c>
      <c r="AB33" s="15">
        <f t="shared" si="15"/>
        <v>60</v>
      </c>
      <c r="AC33" s="15">
        <f t="shared" si="16"/>
        <v>20</v>
      </c>
      <c r="AD33" s="15">
        <f t="shared" si="17"/>
        <v>80</v>
      </c>
      <c r="AE33" s="19">
        <f t="shared" si="18"/>
        <v>55.2</v>
      </c>
      <c r="AF33" s="20">
        <v>92</v>
      </c>
      <c r="AG33" s="20">
        <f t="shared" si="19"/>
        <v>5.52</v>
      </c>
      <c r="AH33" s="20">
        <f t="shared" si="20"/>
        <v>92</v>
      </c>
      <c r="AI33" s="20">
        <f t="shared" si="21"/>
        <v>4.6</v>
      </c>
      <c r="AJ33" s="20">
        <f t="shared" si="22"/>
        <v>92</v>
      </c>
      <c r="AK33" s="20">
        <f t="shared" si="23"/>
        <v>4.6</v>
      </c>
      <c r="AL33" s="20">
        <f t="shared" si="24"/>
        <v>19.2</v>
      </c>
      <c r="AM33" s="20">
        <f t="shared" si="25"/>
        <v>33.92</v>
      </c>
    </row>
    <row r="34" ht="49.5" spans="3:39">
      <c r="C34" s="12">
        <v>29</v>
      </c>
      <c r="D34" s="13" t="s">
        <v>98</v>
      </c>
      <c r="E34" s="13" t="s">
        <v>99</v>
      </c>
      <c r="F34" s="14" t="s">
        <v>43</v>
      </c>
      <c r="G34" s="14" t="s">
        <v>43</v>
      </c>
      <c r="H34" s="13" t="s">
        <v>43</v>
      </c>
      <c r="I34" s="14">
        <v>40</v>
      </c>
      <c r="J34" s="15">
        <v>33</v>
      </c>
      <c r="K34" s="15">
        <f t="shared" si="0"/>
        <v>7</v>
      </c>
      <c r="L34" s="15">
        <f t="shared" si="1"/>
        <v>50</v>
      </c>
      <c r="M34" s="15">
        <f t="shared" si="2"/>
        <v>16.6666666666667</v>
      </c>
      <c r="N34" s="16">
        <f t="shared" si="3"/>
        <v>66.6666666666667</v>
      </c>
      <c r="O34" s="17">
        <f t="shared" si="4"/>
        <v>5.33333333333333</v>
      </c>
      <c r="P34" s="15">
        <v>32</v>
      </c>
      <c r="Q34" s="15">
        <f t="shared" si="5"/>
        <v>11</v>
      </c>
      <c r="R34" s="15">
        <f t="shared" si="6"/>
        <v>21</v>
      </c>
      <c r="S34" s="15">
        <f t="shared" si="7"/>
        <v>18</v>
      </c>
      <c r="T34" s="15">
        <f t="shared" si="8"/>
        <v>53.3333333333333</v>
      </c>
      <c r="U34" s="15">
        <f t="shared" si="9"/>
        <v>40</v>
      </c>
      <c r="V34" s="18">
        <f t="shared" si="10"/>
        <v>13.3333333333333</v>
      </c>
      <c r="W34" s="15">
        <f t="shared" si="11"/>
        <v>4.26666666666667</v>
      </c>
      <c r="X34" s="15">
        <v>56</v>
      </c>
      <c r="Y34" s="17">
        <f t="shared" si="12"/>
        <v>28</v>
      </c>
      <c r="Z34" s="17">
        <f t="shared" si="13"/>
        <v>28</v>
      </c>
      <c r="AA34" s="15">
        <f t="shared" si="14"/>
        <v>5.6</v>
      </c>
      <c r="AB34" s="15">
        <f t="shared" si="15"/>
        <v>52.5</v>
      </c>
      <c r="AC34" s="15">
        <f t="shared" si="16"/>
        <v>17.5</v>
      </c>
      <c r="AD34" s="15">
        <f t="shared" si="17"/>
        <v>70</v>
      </c>
      <c r="AE34" s="19">
        <f t="shared" si="18"/>
        <v>52.8</v>
      </c>
      <c r="AF34" s="20">
        <v>88</v>
      </c>
      <c r="AG34" s="20">
        <f t="shared" si="19"/>
        <v>5.28</v>
      </c>
      <c r="AH34" s="20">
        <f t="shared" si="20"/>
        <v>88</v>
      </c>
      <c r="AI34" s="20">
        <f t="shared" si="21"/>
        <v>4.4</v>
      </c>
      <c r="AJ34" s="20">
        <f t="shared" si="22"/>
        <v>88</v>
      </c>
      <c r="AK34" s="20">
        <f t="shared" si="23"/>
        <v>4.4</v>
      </c>
      <c r="AL34" s="20">
        <f t="shared" si="24"/>
        <v>15.2</v>
      </c>
      <c r="AM34" s="20">
        <f t="shared" si="25"/>
        <v>29.28</v>
      </c>
    </row>
    <row r="35" ht="49.5" spans="3:39">
      <c r="C35" s="12">
        <v>30</v>
      </c>
      <c r="D35" s="13" t="s">
        <v>100</v>
      </c>
      <c r="E35" s="13" t="s">
        <v>101</v>
      </c>
      <c r="F35" s="14" t="s">
        <v>42</v>
      </c>
      <c r="G35" s="14" t="s">
        <v>43</v>
      </c>
      <c r="H35" s="13" t="s">
        <v>43</v>
      </c>
      <c r="I35" s="14">
        <v>31</v>
      </c>
      <c r="J35" s="15">
        <v>27</v>
      </c>
      <c r="K35" s="15">
        <f t="shared" si="0"/>
        <v>4</v>
      </c>
      <c r="L35" s="15">
        <f t="shared" si="1"/>
        <v>38.75</v>
      </c>
      <c r="M35" s="15">
        <f t="shared" si="2"/>
        <v>12.9166666666667</v>
      </c>
      <c r="N35" s="16">
        <f t="shared" si="3"/>
        <v>51.6666666666667</v>
      </c>
      <c r="O35" s="17">
        <f t="shared" si="4"/>
        <v>4.13333333333333</v>
      </c>
      <c r="P35" s="21">
        <v>30</v>
      </c>
      <c r="Q35" s="15">
        <f t="shared" si="5"/>
        <v>10</v>
      </c>
      <c r="R35" s="15">
        <f t="shared" si="6"/>
        <v>20</v>
      </c>
      <c r="S35" s="15">
        <f t="shared" si="7"/>
        <v>14</v>
      </c>
      <c r="T35" s="15">
        <f t="shared" si="8"/>
        <v>50</v>
      </c>
      <c r="U35" s="15">
        <f t="shared" si="9"/>
        <v>37</v>
      </c>
      <c r="V35" s="18">
        <f t="shared" si="10"/>
        <v>13</v>
      </c>
      <c r="W35" s="15">
        <f t="shared" si="11"/>
        <v>4</v>
      </c>
      <c r="X35" s="15">
        <v>58</v>
      </c>
      <c r="Y35" s="17">
        <f t="shared" si="12"/>
        <v>29</v>
      </c>
      <c r="Z35" s="17">
        <f t="shared" si="13"/>
        <v>29</v>
      </c>
      <c r="AA35" s="15">
        <f t="shared" si="14"/>
        <v>5.8</v>
      </c>
      <c r="AB35" s="15">
        <f t="shared" si="15"/>
        <v>54.375</v>
      </c>
      <c r="AC35" s="15">
        <f t="shared" si="16"/>
        <v>18.125</v>
      </c>
      <c r="AD35" s="15">
        <f t="shared" si="17"/>
        <v>72.5</v>
      </c>
      <c r="AE35" s="19">
        <f t="shared" si="18"/>
        <v>50.4</v>
      </c>
      <c r="AF35" s="20">
        <v>84</v>
      </c>
      <c r="AG35" s="20">
        <f t="shared" si="19"/>
        <v>5.04</v>
      </c>
      <c r="AH35" s="20">
        <f t="shared" si="20"/>
        <v>84</v>
      </c>
      <c r="AI35" s="20">
        <f t="shared" si="21"/>
        <v>4.2</v>
      </c>
      <c r="AJ35" s="20">
        <f t="shared" si="22"/>
        <v>84</v>
      </c>
      <c r="AK35" s="20">
        <f t="shared" si="23"/>
        <v>4.2</v>
      </c>
      <c r="AL35" s="20">
        <f t="shared" si="24"/>
        <v>13.9333333333333</v>
      </c>
      <c r="AM35" s="20">
        <f t="shared" si="25"/>
        <v>27.3733333333333</v>
      </c>
    </row>
    <row r="36" ht="49.5" spans="3:39">
      <c r="C36" s="12">
        <v>31</v>
      </c>
      <c r="D36" s="13" t="s">
        <v>102</v>
      </c>
      <c r="E36" s="13" t="s">
        <v>103</v>
      </c>
      <c r="F36" s="14" t="s">
        <v>43</v>
      </c>
      <c r="G36" s="14" t="s">
        <v>43</v>
      </c>
      <c r="H36" s="13" t="s">
        <v>43</v>
      </c>
      <c r="I36" s="14">
        <v>59</v>
      </c>
      <c r="J36" s="15">
        <v>40</v>
      </c>
      <c r="K36" s="15">
        <f t="shared" si="0"/>
        <v>19</v>
      </c>
      <c r="L36" s="15">
        <f t="shared" si="1"/>
        <v>73.75</v>
      </c>
      <c r="M36" s="15">
        <f t="shared" si="2"/>
        <v>24.5833333333333</v>
      </c>
      <c r="N36" s="16">
        <f t="shared" si="3"/>
        <v>98.3333333333333</v>
      </c>
      <c r="O36" s="17">
        <f t="shared" si="4"/>
        <v>7.86666666666667</v>
      </c>
      <c r="P36" s="15">
        <v>58</v>
      </c>
      <c r="Q36" s="15">
        <f t="shared" si="5"/>
        <v>20</v>
      </c>
      <c r="R36" s="15">
        <f t="shared" si="6"/>
        <v>38</v>
      </c>
      <c r="S36" s="15">
        <f t="shared" si="7"/>
        <v>39</v>
      </c>
      <c r="T36" s="15">
        <f t="shared" si="8"/>
        <v>96.6666666666667</v>
      </c>
      <c r="U36" s="15">
        <f t="shared" si="9"/>
        <v>72</v>
      </c>
      <c r="V36" s="18">
        <f t="shared" si="10"/>
        <v>24.6666666666667</v>
      </c>
      <c r="W36" s="15">
        <f t="shared" si="11"/>
        <v>7.73333333333333</v>
      </c>
      <c r="X36" s="15">
        <v>65</v>
      </c>
      <c r="Y36" s="17">
        <f t="shared" si="12"/>
        <v>32</v>
      </c>
      <c r="Z36" s="17">
        <f t="shared" si="13"/>
        <v>33</v>
      </c>
      <c r="AA36" s="15">
        <f t="shared" si="14"/>
        <v>6.5</v>
      </c>
      <c r="AB36" s="15">
        <f t="shared" si="15"/>
        <v>60.9375</v>
      </c>
      <c r="AC36" s="15">
        <f t="shared" si="16"/>
        <v>20.3125</v>
      </c>
      <c r="AD36" s="15">
        <f t="shared" si="17"/>
        <v>81.25</v>
      </c>
      <c r="AE36" s="19">
        <f t="shared" si="18"/>
        <v>60</v>
      </c>
      <c r="AF36" s="20">
        <v>100</v>
      </c>
      <c r="AG36" s="20">
        <f t="shared" si="19"/>
        <v>6</v>
      </c>
      <c r="AH36" s="20">
        <f t="shared" si="20"/>
        <v>100</v>
      </c>
      <c r="AI36" s="20">
        <f t="shared" si="21"/>
        <v>5</v>
      </c>
      <c r="AJ36" s="20">
        <f t="shared" si="22"/>
        <v>100</v>
      </c>
      <c r="AK36" s="20">
        <f t="shared" si="23"/>
        <v>5</v>
      </c>
      <c r="AL36" s="20">
        <f t="shared" si="24"/>
        <v>22.1</v>
      </c>
      <c r="AM36" s="20">
        <f t="shared" si="25"/>
        <v>38.1</v>
      </c>
    </row>
    <row r="37" ht="33" spans="3:39">
      <c r="C37" s="12">
        <v>32</v>
      </c>
      <c r="D37" s="13" t="s">
        <v>104</v>
      </c>
      <c r="E37" s="13" t="s">
        <v>105</v>
      </c>
      <c r="F37" s="14" t="s">
        <v>42</v>
      </c>
      <c r="G37" s="14" t="s">
        <v>42</v>
      </c>
      <c r="H37" s="13" t="s">
        <v>43</v>
      </c>
      <c r="I37" s="14">
        <v>51</v>
      </c>
      <c r="J37" s="15">
        <v>32</v>
      </c>
      <c r="K37" s="15">
        <f t="shared" si="0"/>
        <v>19</v>
      </c>
      <c r="L37" s="15">
        <f t="shared" si="1"/>
        <v>63.75</v>
      </c>
      <c r="M37" s="15">
        <f t="shared" si="2"/>
        <v>21.25</v>
      </c>
      <c r="N37" s="16">
        <f t="shared" si="3"/>
        <v>85</v>
      </c>
      <c r="O37" s="17">
        <f t="shared" si="4"/>
        <v>6.8</v>
      </c>
      <c r="P37" s="15">
        <v>53</v>
      </c>
      <c r="Q37" s="15">
        <f t="shared" si="5"/>
        <v>18</v>
      </c>
      <c r="R37" s="15">
        <f t="shared" si="6"/>
        <v>35</v>
      </c>
      <c r="S37" s="15">
        <f t="shared" si="7"/>
        <v>37</v>
      </c>
      <c r="T37" s="15">
        <f t="shared" si="8"/>
        <v>88.3333333333333</v>
      </c>
      <c r="U37" s="15">
        <f t="shared" si="9"/>
        <v>66</v>
      </c>
      <c r="V37" s="18">
        <f t="shared" si="10"/>
        <v>22.3333333333333</v>
      </c>
      <c r="W37" s="15">
        <f t="shared" si="11"/>
        <v>7.06666666666667</v>
      </c>
      <c r="X37" s="15">
        <v>66</v>
      </c>
      <c r="Y37" s="17">
        <f t="shared" si="12"/>
        <v>33</v>
      </c>
      <c r="Z37" s="17">
        <f t="shared" si="13"/>
        <v>33</v>
      </c>
      <c r="AA37" s="15">
        <f t="shared" si="14"/>
        <v>6.6</v>
      </c>
      <c r="AB37" s="15">
        <f t="shared" si="15"/>
        <v>61.875</v>
      </c>
      <c r="AC37" s="15">
        <f t="shared" si="16"/>
        <v>20.625</v>
      </c>
      <c r="AD37" s="15">
        <f t="shared" si="17"/>
        <v>82.5</v>
      </c>
      <c r="AE37" s="19">
        <f t="shared" si="18"/>
        <v>57.6</v>
      </c>
      <c r="AF37" s="20">
        <v>96</v>
      </c>
      <c r="AG37" s="20">
        <f t="shared" si="19"/>
        <v>5.76</v>
      </c>
      <c r="AH37" s="20">
        <f t="shared" si="20"/>
        <v>96</v>
      </c>
      <c r="AI37" s="20">
        <f t="shared" si="21"/>
        <v>4.8</v>
      </c>
      <c r="AJ37" s="20">
        <f t="shared" si="22"/>
        <v>96</v>
      </c>
      <c r="AK37" s="20">
        <f t="shared" si="23"/>
        <v>4.8</v>
      </c>
      <c r="AL37" s="20">
        <f t="shared" si="24"/>
        <v>20.4666666666667</v>
      </c>
      <c r="AM37" s="20">
        <f t="shared" si="25"/>
        <v>35.8266666666667</v>
      </c>
    </row>
    <row r="38" ht="33" spans="3:39">
      <c r="C38" s="12">
        <v>33</v>
      </c>
      <c r="D38" s="13" t="s">
        <v>106</v>
      </c>
      <c r="E38" s="13" t="s">
        <v>107</v>
      </c>
      <c r="F38" s="14" t="s">
        <v>42</v>
      </c>
      <c r="G38" s="14" t="s">
        <v>42</v>
      </c>
      <c r="H38" s="13" t="s">
        <v>42</v>
      </c>
      <c r="I38" s="14">
        <v>40</v>
      </c>
      <c r="J38" s="15">
        <v>32</v>
      </c>
      <c r="K38" s="15">
        <f t="shared" si="0"/>
        <v>8</v>
      </c>
      <c r="L38" s="15">
        <f t="shared" si="1"/>
        <v>50</v>
      </c>
      <c r="M38" s="15">
        <f t="shared" si="2"/>
        <v>16.6666666666667</v>
      </c>
      <c r="N38" s="16">
        <f t="shared" si="3"/>
        <v>66.6666666666667</v>
      </c>
      <c r="O38" s="17">
        <f t="shared" si="4"/>
        <v>5.33333333333333</v>
      </c>
      <c r="P38" s="15">
        <v>21</v>
      </c>
      <c r="Q38" s="15">
        <f t="shared" si="5"/>
        <v>7</v>
      </c>
      <c r="R38" s="15">
        <f t="shared" si="6"/>
        <v>14</v>
      </c>
      <c r="S38" s="15">
        <f t="shared" si="7"/>
        <v>15</v>
      </c>
      <c r="T38" s="15">
        <f t="shared" si="8"/>
        <v>35</v>
      </c>
      <c r="U38" s="15">
        <f t="shared" si="9"/>
        <v>26</v>
      </c>
      <c r="V38" s="18">
        <f t="shared" si="10"/>
        <v>9</v>
      </c>
      <c r="W38" s="15">
        <f t="shared" si="11"/>
        <v>2.8</v>
      </c>
      <c r="X38" s="15">
        <v>44</v>
      </c>
      <c r="Y38" s="17">
        <f t="shared" si="12"/>
        <v>22</v>
      </c>
      <c r="Z38" s="17">
        <f t="shared" si="13"/>
        <v>22</v>
      </c>
      <c r="AA38" s="15">
        <f t="shared" si="14"/>
        <v>4.4</v>
      </c>
      <c r="AB38" s="15">
        <f t="shared" si="15"/>
        <v>41.25</v>
      </c>
      <c r="AC38" s="15">
        <f t="shared" si="16"/>
        <v>13.75</v>
      </c>
      <c r="AD38" s="15">
        <f t="shared" si="17"/>
        <v>55</v>
      </c>
      <c r="AE38" s="19">
        <f t="shared" si="18"/>
        <v>51</v>
      </c>
      <c r="AF38" s="20">
        <v>85</v>
      </c>
      <c r="AG38" s="20">
        <f t="shared" si="19"/>
        <v>5.1</v>
      </c>
      <c r="AH38" s="20">
        <f t="shared" si="20"/>
        <v>85</v>
      </c>
      <c r="AI38" s="20">
        <f t="shared" si="21"/>
        <v>4.25</v>
      </c>
      <c r="AJ38" s="20">
        <f t="shared" si="22"/>
        <v>85</v>
      </c>
      <c r="AK38" s="20">
        <f t="shared" si="23"/>
        <v>4.25</v>
      </c>
      <c r="AL38" s="20">
        <f t="shared" si="24"/>
        <v>12.5333333333333</v>
      </c>
      <c r="AM38" s="20">
        <f t="shared" si="25"/>
        <v>26.1333333333333</v>
      </c>
    </row>
    <row r="39" ht="33" spans="3:39">
      <c r="C39" s="12">
        <v>34</v>
      </c>
      <c r="D39" s="13" t="s">
        <v>108</v>
      </c>
      <c r="E39" s="13" t="s">
        <v>109</v>
      </c>
      <c r="F39" s="14" t="s">
        <v>43</v>
      </c>
      <c r="G39" s="14" t="s">
        <v>43</v>
      </c>
      <c r="H39" s="13" t="s">
        <v>43</v>
      </c>
      <c r="I39" s="14">
        <v>33</v>
      </c>
      <c r="J39" s="15">
        <v>18</v>
      </c>
      <c r="K39" s="15">
        <f t="shared" si="0"/>
        <v>15</v>
      </c>
      <c r="L39" s="15">
        <f t="shared" si="1"/>
        <v>41.25</v>
      </c>
      <c r="M39" s="15">
        <f t="shared" si="2"/>
        <v>13.75</v>
      </c>
      <c r="N39" s="16">
        <f t="shared" si="3"/>
        <v>55</v>
      </c>
      <c r="O39" s="17">
        <f t="shared" si="4"/>
        <v>4.4</v>
      </c>
      <c r="P39" s="15">
        <v>56</v>
      </c>
      <c r="Q39" s="15">
        <f t="shared" si="5"/>
        <v>19</v>
      </c>
      <c r="R39" s="15">
        <f t="shared" si="6"/>
        <v>37</v>
      </c>
      <c r="S39" s="15">
        <f t="shared" si="7"/>
        <v>34</v>
      </c>
      <c r="T39" s="15">
        <f t="shared" si="8"/>
        <v>93.3333333333333</v>
      </c>
      <c r="U39" s="15">
        <f t="shared" si="9"/>
        <v>70</v>
      </c>
      <c r="V39" s="18">
        <f t="shared" si="10"/>
        <v>23.3333333333333</v>
      </c>
      <c r="W39" s="15">
        <f t="shared" si="11"/>
        <v>7.46666666666667</v>
      </c>
      <c r="X39" s="15">
        <v>69</v>
      </c>
      <c r="Y39" s="17">
        <f t="shared" si="12"/>
        <v>34</v>
      </c>
      <c r="Z39" s="17">
        <f t="shared" si="13"/>
        <v>35</v>
      </c>
      <c r="AA39" s="15">
        <f t="shared" si="14"/>
        <v>6.9</v>
      </c>
      <c r="AB39" s="15">
        <f t="shared" si="15"/>
        <v>64.6875</v>
      </c>
      <c r="AC39" s="15">
        <f t="shared" si="16"/>
        <v>21.5625</v>
      </c>
      <c r="AD39" s="15">
        <f t="shared" si="17"/>
        <v>86.25</v>
      </c>
      <c r="AE39" s="19">
        <f t="shared" si="18"/>
        <v>54</v>
      </c>
      <c r="AF39" s="20">
        <v>90</v>
      </c>
      <c r="AG39" s="20">
        <f t="shared" si="19"/>
        <v>5.4</v>
      </c>
      <c r="AH39" s="20">
        <f t="shared" si="20"/>
        <v>90</v>
      </c>
      <c r="AI39" s="20">
        <f t="shared" si="21"/>
        <v>4.5</v>
      </c>
      <c r="AJ39" s="20">
        <f t="shared" si="22"/>
        <v>90</v>
      </c>
      <c r="AK39" s="20">
        <f t="shared" si="23"/>
        <v>4.5</v>
      </c>
      <c r="AL39" s="20">
        <f t="shared" si="24"/>
        <v>18.7666666666667</v>
      </c>
      <c r="AM39" s="20">
        <f t="shared" si="25"/>
        <v>33.1666666666667</v>
      </c>
    </row>
    <row r="40" ht="33" spans="3:39">
      <c r="C40" s="12">
        <v>35</v>
      </c>
      <c r="D40" s="13" t="s">
        <v>110</v>
      </c>
      <c r="E40" s="13" t="s">
        <v>111</v>
      </c>
      <c r="F40" s="14" t="s">
        <v>43</v>
      </c>
      <c r="G40" s="14" t="s">
        <v>43</v>
      </c>
      <c r="H40" s="13" t="s">
        <v>42</v>
      </c>
      <c r="I40" s="14">
        <v>49</v>
      </c>
      <c r="J40" s="15">
        <v>31</v>
      </c>
      <c r="K40" s="15">
        <f t="shared" si="0"/>
        <v>18</v>
      </c>
      <c r="L40" s="15">
        <f t="shared" si="1"/>
        <v>61.25</v>
      </c>
      <c r="M40" s="15">
        <f t="shared" si="2"/>
        <v>20.4166666666667</v>
      </c>
      <c r="N40" s="16">
        <f t="shared" si="3"/>
        <v>81.6666666666667</v>
      </c>
      <c r="O40" s="17">
        <f t="shared" si="4"/>
        <v>6.53333333333333</v>
      </c>
      <c r="P40" s="15">
        <v>33</v>
      </c>
      <c r="Q40" s="15">
        <f t="shared" si="5"/>
        <v>11</v>
      </c>
      <c r="R40" s="15">
        <f t="shared" si="6"/>
        <v>22</v>
      </c>
      <c r="S40" s="15">
        <f t="shared" si="7"/>
        <v>29</v>
      </c>
      <c r="T40" s="15">
        <f t="shared" si="8"/>
        <v>55</v>
      </c>
      <c r="U40" s="15">
        <f t="shared" si="9"/>
        <v>41</v>
      </c>
      <c r="V40" s="18">
        <f t="shared" si="10"/>
        <v>14</v>
      </c>
      <c r="W40" s="15">
        <f t="shared" si="11"/>
        <v>4.4</v>
      </c>
      <c r="X40" s="15">
        <v>28</v>
      </c>
      <c r="Y40" s="17">
        <f t="shared" si="12"/>
        <v>14</v>
      </c>
      <c r="Z40" s="17">
        <f t="shared" si="13"/>
        <v>14</v>
      </c>
      <c r="AA40" s="15">
        <f t="shared" si="14"/>
        <v>2.8</v>
      </c>
      <c r="AB40" s="15">
        <f t="shared" si="15"/>
        <v>26.25</v>
      </c>
      <c r="AC40" s="15">
        <f t="shared" si="16"/>
        <v>8.75</v>
      </c>
      <c r="AD40" s="15">
        <f t="shared" si="17"/>
        <v>35</v>
      </c>
      <c r="AE40" s="19">
        <f t="shared" si="18"/>
        <v>51</v>
      </c>
      <c r="AF40" s="20">
        <v>85</v>
      </c>
      <c r="AG40" s="20">
        <f t="shared" si="19"/>
        <v>5.1</v>
      </c>
      <c r="AH40" s="20">
        <f t="shared" si="20"/>
        <v>85</v>
      </c>
      <c r="AI40" s="20">
        <f t="shared" si="21"/>
        <v>4.25</v>
      </c>
      <c r="AJ40" s="20">
        <f t="shared" si="22"/>
        <v>85</v>
      </c>
      <c r="AK40" s="20">
        <f t="shared" si="23"/>
        <v>4.25</v>
      </c>
      <c r="AL40" s="20">
        <f t="shared" si="24"/>
        <v>13.7333333333333</v>
      </c>
      <c r="AM40" s="20">
        <f t="shared" si="25"/>
        <v>27.3333333333333</v>
      </c>
    </row>
    <row r="41" ht="49.5" spans="3:39">
      <c r="C41" s="12">
        <v>36</v>
      </c>
      <c r="D41" s="13" t="s">
        <v>112</v>
      </c>
      <c r="E41" s="13" t="s">
        <v>113</v>
      </c>
      <c r="F41" s="14" t="s">
        <v>43</v>
      </c>
      <c r="G41" s="14" t="s">
        <v>42</v>
      </c>
      <c r="H41" s="13" t="s">
        <v>43</v>
      </c>
      <c r="I41" s="14">
        <v>40</v>
      </c>
      <c r="J41" s="15">
        <v>25</v>
      </c>
      <c r="K41" s="15">
        <f t="shared" si="0"/>
        <v>15</v>
      </c>
      <c r="L41" s="15">
        <f t="shared" si="1"/>
        <v>50</v>
      </c>
      <c r="M41" s="15">
        <f t="shared" si="2"/>
        <v>16.6666666666667</v>
      </c>
      <c r="N41" s="16">
        <f t="shared" si="3"/>
        <v>66.6666666666667</v>
      </c>
      <c r="O41" s="17">
        <f t="shared" si="4"/>
        <v>5.33333333333333</v>
      </c>
      <c r="P41" s="15">
        <v>57</v>
      </c>
      <c r="Q41" s="15">
        <f t="shared" si="5"/>
        <v>19</v>
      </c>
      <c r="R41" s="15">
        <f t="shared" si="6"/>
        <v>38</v>
      </c>
      <c r="S41" s="15">
        <f t="shared" si="7"/>
        <v>34</v>
      </c>
      <c r="T41" s="15">
        <f t="shared" si="8"/>
        <v>95</v>
      </c>
      <c r="U41" s="15">
        <f t="shared" si="9"/>
        <v>71</v>
      </c>
      <c r="V41" s="18">
        <f t="shared" si="10"/>
        <v>24</v>
      </c>
      <c r="W41" s="15">
        <f t="shared" si="11"/>
        <v>7.6</v>
      </c>
      <c r="X41" s="15">
        <v>68</v>
      </c>
      <c r="Y41" s="17">
        <f t="shared" si="12"/>
        <v>34</v>
      </c>
      <c r="Z41" s="17">
        <f t="shared" si="13"/>
        <v>34</v>
      </c>
      <c r="AA41" s="15">
        <f t="shared" si="14"/>
        <v>6.8</v>
      </c>
      <c r="AB41" s="15">
        <f t="shared" si="15"/>
        <v>63.75</v>
      </c>
      <c r="AC41" s="15">
        <f t="shared" si="16"/>
        <v>21.25</v>
      </c>
      <c r="AD41" s="15">
        <f t="shared" si="17"/>
        <v>85</v>
      </c>
      <c r="AE41" s="19">
        <f t="shared" si="18"/>
        <v>57</v>
      </c>
      <c r="AF41" s="20">
        <f t="shared" ref="AF41:AF46" si="26">MAX(N41,T41,AD41)</f>
        <v>95</v>
      </c>
      <c r="AG41" s="20">
        <f t="shared" si="19"/>
        <v>5.7</v>
      </c>
      <c r="AH41" s="20">
        <f t="shared" si="20"/>
        <v>95</v>
      </c>
      <c r="AI41" s="20">
        <f t="shared" si="21"/>
        <v>4.75</v>
      </c>
      <c r="AJ41" s="20">
        <f t="shared" si="22"/>
        <v>95</v>
      </c>
      <c r="AK41" s="20">
        <f t="shared" si="23"/>
        <v>4.75</v>
      </c>
      <c r="AL41" s="20">
        <f t="shared" si="24"/>
        <v>19.7333333333333</v>
      </c>
      <c r="AM41" s="20">
        <f t="shared" si="25"/>
        <v>34.9333333333333</v>
      </c>
    </row>
    <row r="42" ht="82.5" spans="3:39">
      <c r="C42" s="22">
        <v>37</v>
      </c>
      <c r="D42" s="23" t="s">
        <v>114</v>
      </c>
      <c r="E42" s="23" t="s">
        <v>115</v>
      </c>
      <c r="F42" s="24" t="s">
        <v>42</v>
      </c>
      <c r="G42" s="24" t="s">
        <v>42</v>
      </c>
      <c r="H42" s="23" t="s">
        <v>42</v>
      </c>
      <c r="I42" s="24">
        <v>42</v>
      </c>
      <c r="J42" s="25">
        <v>24</v>
      </c>
      <c r="K42" s="25">
        <f t="shared" si="0"/>
        <v>18</v>
      </c>
      <c r="L42" s="25">
        <f t="shared" si="1"/>
        <v>52.5</v>
      </c>
      <c r="M42" s="25">
        <f t="shared" si="2"/>
        <v>17.5</v>
      </c>
      <c r="N42" s="26">
        <f t="shared" si="3"/>
        <v>70</v>
      </c>
      <c r="O42" s="27">
        <f t="shared" si="4"/>
        <v>5.6</v>
      </c>
      <c r="P42" s="25">
        <v>31</v>
      </c>
      <c r="Q42" s="25">
        <f t="shared" si="5"/>
        <v>11</v>
      </c>
      <c r="R42" s="25">
        <f t="shared" si="6"/>
        <v>20</v>
      </c>
      <c r="S42" s="25">
        <f t="shared" si="7"/>
        <v>29</v>
      </c>
      <c r="T42" s="25">
        <f t="shared" si="8"/>
        <v>51.6666666666667</v>
      </c>
      <c r="U42" s="25">
        <f t="shared" si="9"/>
        <v>38</v>
      </c>
      <c r="V42" s="28">
        <f t="shared" si="10"/>
        <v>13.6666666666667</v>
      </c>
      <c r="W42" s="25">
        <f t="shared" si="11"/>
        <v>4.13333333333333</v>
      </c>
      <c r="X42" s="25">
        <v>56</v>
      </c>
      <c r="Y42" s="27">
        <f t="shared" si="12"/>
        <v>28</v>
      </c>
      <c r="Z42" s="27">
        <f t="shared" si="13"/>
        <v>28</v>
      </c>
      <c r="AA42" s="25">
        <f t="shared" si="14"/>
        <v>5.6</v>
      </c>
      <c r="AB42" s="25">
        <f t="shared" si="15"/>
        <v>52.5</v>
      </c>
      <c r="AC42" s="25">
        <f t="shared" si="16"/>
        <v>17.5</v>
      </c>
      <c r="AD42" s="25">
        <f t="shared" si="17"/>
        <v>70</v>
      </c>
      <c r="AE42" s="29">
        <f t="shared" si="18"/>
        <v>54</v>
      </c>
      <c r="AF42" s="30">
        <v>90</v>
      </c>
      <c r="AG42" s="30">
        <f t="shared" si="19"/>
        <v>5.4</v>
      </c>
      <c r="AH42" s="31">
        <v>90</v>
      </c>
      <c r="AI42" s="30">
        <f t="shared" si="21"/>
        <v>4.5</v>
      </c>
      <c r="AJ42" s="30">
        <f t="shared" si="22"/>
        <v>90</v>
      </c>
      <c r="AK42" s="30">
        <f t="shared" si="23"/>
        <v>4.5</v>
      </c>
      <c r="AL42" s="30">
        <f t="shared" si="24"/>
        <v>15.3333333333333</v>
      </c>
      <c r="AM42" s="30">
        <f t="shared" si="25"/>
        <v>29.7333333333333</v>
      </c>
    </row>
    <row r="43" ht="49.5" spans="3:39">
      <c r="C43" s="12">
        <v>38</v>
      </c>
      <c r="D43" s="13" t="s">
        <v>116</v>
      </c>
      <c r="E43" s="13" t="s">
        <v>117</v>
      </c>
      <c r="F43" s="14" t="s">
        <v>42</v>
      </c>
      <c r="G43" s="14" t="s">
        <v>42</v>
      </c>
      <c r="H43" s="13" t="s">
        <v>42</v>
      </c>
      <c r="I43" s="14">
        <v>47</v>
      </c>
      <c r="J43" s="15">
        <v>30</v>
      </c>
      <c r="K43" s="15">
        <f t="shared" si="0"/>
        <v>17</v>
      </c>
      <c r="L43" s="15">
        <f t="shared" si="1"/>
        <v>58.75</v>
      </c>
      <c r="M43" s="15">
        <f t="shared" si="2"/>
        <v>19.5833333333333</v>
      </c>
      <c r="N43" s="16">
        <f t="shared" si="3"/>
        <v>78.3333333333333</v>
      </c>
      <c r="O43" s="17">
        <f t="shared" si="4"/>
        <v>6.26666666666667</v>
      </c>
      <c r="P43" s="15">
        <v>54</v>
      </c>
      <c r="Q43" s="15">
        <f t="shared" si="5"/>
        <v>18</v>
      </c>
      <c r="R43" s="15">
        <f t="shared" si="6"/>
        <v>36</v>
      </c>
      <c r="S43" s="15">
        <f t="shared" si="7"/>
        <v>35</v>
      </c>
      <c r="T43" s="15">
        <f t="shared" si="8"/>
        <v>90</v>
      </c>
      <c r="U43" s="15">
        <f t="shared" si="9"/>
        <v>67</v>
      </c>
      <c r="V43" s="18">
        <f t="shared" si="10"/>
        <v>23</v>
      </c>
      <c r="W43" s="15">
        <f t="shared" si="11"/>
        <v>7.2</v>
      </c>
      <c r="X43" s="15">
        <v>65</v>
      </c>
      <c r="Y43" s="17">
        <f t="shared" si="12"/>
        <v>32</v>
      </c>
      <c r="Z43" s="17">
        <f t="shared" si="13"/>
        <v>33</v>
      </c>
      <c r="AA43" s="15">
        <f t="shared" si="14"/>
        <v>6.5</v>
      </c>
      <c r="AB43" s="15">
        <f t="shared" si="15"/>
        <v>60.9375</v>
      </c>
      <c r="AC43" s="15">
        <f t="shared" si="16"/>
        <v>20.3125</v>
      </c>
      <c r="AD43" s="15">
        <f t="shared" si="17"/>
        <v>81.25</v>
      </c>
      <c r="AE43" s="19">
        <f t="shared" si="18"/>
        <v>58.8</v>
      </c>
      <c r="AF43" s="20">
        <v>98</v>
      </c>
      <c r="AG43" s="20">
        <f t="shared" si="19"/>
        <v>5.88</v>
      </c>
      <c r="AH43" s="32">
        <v>98</v>
      </c>
      <c r="AI43" s="20">
        <f t="shared" si="21"/>
        <v>4.9</v>
      </c>
      <c r="AJ43" s="20">
        <f t="shared" si="22"/>
        <v>98</v>
      </c>
      <c r="AK43" s="20">
        <f t="shared" si="23"/>
        <v>4.9</v>
      </c>
      <c r="AL43" s="20">
        <f t="shared" si="24"/>
        <v>19.9666666666667</v>
      </c>
      <c r="AM43" s="20">
        <f t="shared" si="25"/>
        <v>35.6466666666667</v>
      </c>
    </row>
    <row r="44" ht="33" spans="3:39">
      <c r="C44" s="12">
        <v>39</v>
      </c>
      <c r="D44" s="13" t="s">
        <v>118</v>
      </c>
      <c r="E44" s="13" t="s">
        <v>119</v>
      </c>
      <c r="F44" s="14" t="s">
        <v>43</v>
      </c>
      <c r="G44" s="14" t="s">
        <v>43</v>
      </c>
      <c r="H44" s="13" t="s">
        <v>43</v>
      </c>
      <c r="I44" s="14">
        <v>48</v>
      </c>
      <c r="J44" s="15">
        <v>31</v>
      </c>
      <c r="K44" s="15">
        <f t="shared" si="0"/>
        <v>17</v>
      </c>
      <c r="L44" s="15">
        <f t="shared" si="1"/>
        <v>60</v>
      </c>
      <c r="M44" s="15">
        <f t="shared" si="2"/>
        <v>20</v>
      </c>
      <c r="N44" s="16">
        <f t="shared" si="3"/>
        <v>80</v>
      </c>
      <c r="O44" s="17">
        <f t="shared" si="4"/>
        <v>6.4</v>
      </c>
      <c r="P44" s="15">
        <v>60</v>
      </c>
      <c r="Q44" s="15">
        <f t="shared" si="5"/>
        <v>20</v>
      </c>
      <c r="R44" s="15">
        <f t="shared" si="6"/>
        <v>40</v>
      </c>
      <c r="S44" s="15">
        <f t="shared" si="7"/>
        <v>37</v>
      </c>
      <c r="T44" s="15">
        <f t="shared" si="8"/>
        <v>100</v>
      </c>
      <c r="U44" s="15">
        <f t="shared" si="9"/>
        <v>75</v>
      </c>
      <c r="V44" s="18">
        <f t="shared" si="10"/>
        <v>25</v>
      </c>
      <c r="W44" s="15">
        <f t="shared" si="11"/>
        <v>8</v>
      </c>
      <c r="X44" s="15">
        <v>69</v>
      </c>
      <c r="Y44" s="17">
        <f t="shared" si="12"/>
        <v>34</v>
      </c>
      <c r="Z44" s="17">
        <f t="shared" si="13"/>
        <v>35</v>
      </c>
      <c r="AA44" s="15">
        <f t="shared" si="14"/>
        <v>6.9</v>
      </c>
      <c r="AB44" s="15">
        <f t="shared" si="15"/>
        <v>64.6875</v>
      </c>
      <c r="AC44" s="15">
        <f t="shared" si="16"/>
        <v>21.5625</v>
      </c>
      <c r="AD44" s="15">
        <f t="shared" si="17"/>
        <v>86.25</v>
      </c>
      <c r="AE44" s="19">
        <f t="shared" si="18"/>
        <v>60</v>
      </c>
      <c r="AF44" s="20">
        <f t="shared" si="26"/>
        <v>100</v>
      </c>
      <c r="AG44" s="20">
        <f t="shared" si="19"/>
        <v>6</v>
      </c>
      <c r="AH44" s="20">
        <f t="shared" ref="AH44:AH49" si="27">AF44</f>
        <v>100</v>
      </c>
      <c r="AI44" s="20">
        <f t="shared" si="21"/>
        <v>5</v>
      </c>
      <c r="AJ44" s="20">
        <f t="shared" si="22"/>
        <v>100</v>
      </c>
      <c r="AK44" s="20">
        <f t="shared" si="23"/>
        <v>5</v>
      </c>
      <c r="AL44" s="20">
        <f t="shared" si="24"/>
        <v>21.3</v>
      </c>
      <c r="AM44" s="20">
        <f t="shared" si="25"/>
        <v>37.3</v>
      </c>
    </row>
    <row r="45" ht="33" spans="3:39">
      <c r="C45" s="12">
        <v>40</v>
      </c>
      <c r="D45" s="13" t="s">
        <v>120</v>
      </c>
      <c r="E45" s="13" t="s">
        <v>121</v>
      </c>
      <c r="F45" s="14" t="s">
        <v>43</v>
      </c>
      <c r="G45" s="14" t="s">
        <v>43</v>
      </c>
      <c r="H45" s="13" t="s">
        <v>42</v>
      </c>
      <c r="I45" s="14">
        <v>30</v>
      </c>
      <c r="J45" s="15">
        <v>23</v>
      </c>
      <c r="K45" s="15">
        <f t="shared" si="0"/>
        <v>7</v>
      </c>
      <c r="L45" s="15">
        <f t="shared" si="1"/>
        <v>37.5</v>
      </c>
      <c r="M45" s="15">
        <f t="shared" si="2"/>
        <v>12.5</v>
      </c>
      <c r="N45" s="16">
        <f t="shared" si="3"/>
        <v>50</v>
      </c>
      <c r="O45" s="17">
        <f t="shared" si="4"/>
        <v>4</v>
      </c>
      <c r="P45" s="15">
        <v>56</v>
      </c>
      <c r="Q45" s="15">
        <f t="shared" si="5"/>
        <v>19</v>
      </c>
      <c r="R45" s="15">
        <f t="shared" si="6"/>
        <v>37</v>
      </c>
      <c r="S45" s="15">
        <f t="shared" si="7"/>
        <v>26</v>
      </c>
      <c r="T45" s="15">
        <f t="shared" si="8"/>
        <v>93.3333333333333</v>
      </c>
      <c r="U45" s="15">
        <f t="shared" si="9"/>
        <v>70</v>
      </c>
      <c r="V45" s="18">
        <f t="shared" si="10"/>
        <v>23.3333333333333</v>
      </c>
      <c r="W45" s="15">
        <f t="shared" si="11"/>
        <v>7.46666666666667</v>
      </c>
      <c r="X45" s="15">
        <v>60</v>
      </c>
      <c r="Y45" s="17">
        <f t="shared" si="12"/>
        <v>30</v>
      </c>
      <c r="Z45" s="17">
        <f t="shared" si="13"/>
        <v>30</v>
      </c>
      <c r="AA45" s="15">
        <f t="shared" si="14"/>
        <v>6</v>
      </c>
      <c r="AB45" s="15">
        <f t="shared" si="15"/>
        <v>56.25</v>
      </c>
      <c r="AC45" s="15">
        <f t="shared" si="16"/>
        <v>18.75</v>
      </c>
      <c r="AD45" s="15">
        <f t="shared" si="17"/>
        <v>75</v>
      </c>
      <c r="AE45" s="19">
        <f t="shared" si="18"/>
        <v>58.8</v>
      </c>
      <c r="AF45" s="20">
        <v>98</v>
      </c>
      <c r="AG45" s="20">
        <f t="shared" si="19"/>
        <v>5.88</v>
      </c>
      <c r="AH45" s="32">
        <v>96</v>
      </c>
      <c r="AI45" s="20">
        <f t="shared" si="21"/>
        <v>4.8</v>
      </c>
      <c r="AJ45" s="20">
        <f t="shared" si="22"/>
        <v>98</v>
      </c>
      <c r="AK45" s="20">
        <f t="shared" si="23"/>
        <v>4.9</v>
      </c>
      <c r="AL45" s="20">
        <f t="shared" si="24"/>
        <v>17.4666666666667</v>
      </c>
      <c r="AM45" s="20">
        <f t="shared" si="25"/>
        <v>33.0466666666667</v>
      </c>
    </row>
    <row r="46" ht="66" spans="3:39">
      <c r="C46" s="12">
        <v>41</v>
      </c>
      <c r="D46" s="13" t="s">
        <v>122</v>
      </c>
      <c r="E46" s="13" t="s">
        <v>123</v>
      </c>
      <c r="F46" s="14" t="s">
        <v>42</v>
      </c>
      <c r="G46" s="14" t="s">
        <v>42</v>
      </c>
      <c r="H46" s="13" t="s">
        <v>42</v>
      </c>
      <c r="I46" s="14">
        <v>57</v>
      </c>
      <c r="J46" s="15">
        <v>39</v>
      </c>
      <c r="K46" s="15">
        <f t="shared" si="0"/>
        <v>18</v>
      </c>
      <c r="L46" s="15">
        <f t="shared" si="1"/>
        <v>71.25</v>
      </c>
      <c r="M46" s="15">
        <f t="shared" si="2"/>
        <v>23.75</v>
      </c>
      <c r="N46" s="16">
        <f t="shared" si="3"/>
        <v>95</v>
      </c>
      <c r="O46" s="17">
        <f t="shared" si="4"/>
        <v>7.6</v>
      </c>
      <c r="P46" s="15">
        <v>60</v>
      </c>
      <c r="Q46" s="15">
        <f t="shared" si="5"/>
        <v>20</v>
      </c>
      <c r="R46" s="15">
        <f t="shared" si="6"/>
        <v>40</v>
      </c>
      <c r="S46" s="15">
        <f t="shared" si="7"/>
        <v>38</v>
      </c>
      <c r="T46" s="15">
        <f t="shared" si="8"/>
        <v>100</v>
      </c>
      <c r="U46" s="15">
        <f t="shared" si="9"/>
        <v>75</v>
      </c>
      <c r="V46" s="18">
        <f t="shared" si="10"/>
        <v>25</v>
      </c>
      <c r="W46" s="15">
        <f t="shared" si="11"/>
        <v>8</v>
      </c>
      <c r="X46" s="15">
        <v>68</v>
      </c>
      <c r="Y46" s="17">
        <f t="shared" si="12"/>
        <v>34</v>
      </c>
      <c r="Z46" s="17">
        <f t="shared" si="13"/>
        <v>34</v>
      </c>
      <c r="AA46" s="15">
        <f t="shared" si="14"/>
        <v>6.8</v>
      </c>
      <c r="AB46" s="15">
        <f t="shared" si="15"/>
        <v>63.75</v>
      </c>
      <c r="AC46" s="15">
        <f t="shared" si="16"/>
        <v>21.25</v>
      </c>
      <c r="AD46" s="15">
        <f t="shared" si="17"/>
        <v>85</v>
      </c>
      <c r="AE46" s="19">
        <f t="shared" si="18"/>
        <v>60</v>
      </c>
      <c r="AF46" s="20">
        <f t="shared" si="26"/>
        <v>100</v>
      </c>
      <c r="AG46" s="20">
        <f t="shared" si="19"/>
        <v>6</v>
      </c>
      <c r="AH46" s="20">
        <f t="shared" si="27"/>
        <v>100</v>
      </c>
      <c r="AI46" s="20">
        <f t="shared" si="21"/>
        <v>5</v>
      </c>
      <c r="AJ46" s="20">
        <f t="shared" si="22"/>
        <v>100</v>
      </c>
      <c r="AK46" s="20">
        <f t="shared" si="23"/>
        <v>5</v>
      </c>
      <c r="AL46" s="20">
        <f t="shared" si="24"/>
        <v>22.4</v>
      </c>
      <c r="AM46" s="20">
        <f t="shared" si="25"/>
        <v>38.4</v>
      </c>
    </row>
    <row r="47" ht="33" spans="3:39">
      <c r="C47" s="12">
        <v>42</v>
      </c>
      <c r="D47" s="13" t="s">
        <v>124</v>
      </c>
      <c r="E47" s="13" t="s">
        <v>125</v>
      </c>
      <c r="F47" s="14" t="s">
        <v>42</v>
      </c>
      <c r="G47" s="14" t="s">
        <v>43</v>
      </c>
      <c r="H47" s="13" t="s">
        <v>43</v>
      </c>
      <c r="I47" s="14">
        <v>44</v>
      </c>
      <c r="J47" s="15">
        <v>32</v>
      </c>
      <c r="K47" s="15">
        <f t="shared" si="0"/>
        <v>12</v>
      </c>
      <c r="L47" s="15">
        <f t="shared" si="1"/>
        <v>55</v>
      </c>
      <c r="M47" s="15">
        <f t="shared" si="2"/>
        <v>18.3333333333333</v>
      </c>
      <c r="N47" s="16">
        <f t="shared" si="3"/>
        <v>73.3333333333333</v>
      </c>
      <c r="O47" s="17">
        <f t="shared" si="4"/>
        <v>5.86666666666667</v>
      </c>
      <c r="P47" s="15">
        <v>34</v>
      </c>
      <c r="Q47" s="15">
        <f t="shared" si="5"/>
        <v>12</v>
      </c>
      <c r="R47" s="15">
        <f t="shared" si="6"/>
        <v>22</v>
      </c>
      <c r="S47" s="15">
        <f t="shared" si="7"/>
        <v>24</v>
      </c>
      <c r="T47" s="15">
        <f t="shared" si="8"/>
        <v>56.6666666666667</v>
      </c>
      <c r="U47" s="15">
        <f t="shared" si="9"/>
        <v>42</v>
      </c>
      <c r="V47" s="18">
        <f t="shared" si="10"/>
        <v>14.6666666666667</v>
      </c>
      <c r="W47" s="15">
        <f t="shared" si="11"/>
        <v>4.53333333333333</v>
      </c>
      <c r="X47" s="15">
        <v>68</v>
      </c>
      <c r="Y47" s="17">
        <f t="shared" si="12"/>
        <v>34</v>
      </c>
      <c r="Z47" s="17">
        <f t="shared" si="13"/>
        <v>34</v>
      </c>
      <c r="AA47" s="15">
        <f t="shared" si="14"/>
        <v>6.8</v>
      </c>
      <c r="AB47" s="15">
        <f t="shared" si="15"/>
        <v>63.75</v>
      </c>
      <c r="AC47" s="15">
        <f t="shared" si="16"/>
        <v>21.25</v>
      </c>
      <c r="AD47" s="15">
        <f t="shared" si="17"/>
        <v>85</v>
      </c>
      <c r="AE47" s="19">
        <f t="shared" si="18"/>
        <v>55.2</v>
      </c>
      <c r="AF47" s="20">
        <v>92</v>
      </c>
      <c r="AG47" s="20">
        <f t="shared" si="19"/>
        <v>5.52</v>
      </c>
      <c r="AH47" s="32">
        <v>92</v>
      </c>
      <c r="AI47" s="20">
        <f t="shared" si="21"/>
        <v>4.6</v>
      </c>
      <c r="AJ47" s="20">
        <f t="shared" si="22"/>
        <v>92</v>
      </c>
      <c r="AK47" s="20">
        <f t="shared" si="23"/>
        <v>4.6</v>
      </c>
      <c r="AL47" s="20">
        <f t="shared" si="24"/>
        <v>17.2</v>
      </c>
      <c r="AM47" s="20">
        <f t="shared" si="25"/>
        <v>31.92</v>
      </c>
    </row>
    <row r="48" ht="49.5" spans="3:39">
      <c r="C48" s="12">
        <v>43</v>
      </c>
      <c r="D48" s="13" t="s">
        <v>126</v>
      </c>
      <c r="E48" s="13" t="s">
        <v>127</v>
      </c>
      <c r="F48" s="14" t="s">
        <v>42</v>
      </c>
      <c r="G48" s="14" t="s">
        <v>43</v>
      </c>
      <c r="H48" s="13" t="s">
        <v>43</v>
      </c>
      <c r="I48" s="14">
        <v>37</v>
      </c>
      <c r="J48" s="15">
        <v>26</v>
      </c>
      <c r="K48" s="15">
        <f t="shared" si="0"/>
        <v>11</v>
      </c>
      <c r="L48" s="15">
        <f t="shared" si="1"/>
        <v>46.25</v>
      </c>
      <c r="M48" s="15">
        <f t="shared" si="2"/>
        <v>15.4166666666667</v>
      </c>
      <c r="N48" s="16">
        <f t="shared" si="3"/>
        <v>61.6666666666667</v>
      </c>
      <c r="O48" s="17">
        <f t="shared" si="4"/>
        <v>4.93333333333333</v>
      </c>
      <c r="P48" s="15">
        <v>32</v>
      </c>
      <c r="Q48" s="15">
        <f t="shared" si="5"/>
        <v>11</v>
      </c>
      <c r="R48" s="15">
        <f t="shared" si="6"/>
        <v>21</v>
      </c>
      <c r="S48" s="15">
        <f t="shared" si="7"/>
        <v>22</v>
      </c>
      <c r="T48" s="15">
        <f t="shared" si="8"/>
        <v>53.3333333333333</v>
      </c>
      <c r="U48" s="15">
        <f t="shared" si="9"/>
        <v>40</v>
      </c>
      <c r="V48" s="18">
        <f t="shared" si="10"/>
        <v>13.3333333333333</v>
      </c>
      <c r="W48" s="15">
        <f t="shared" si="11"/>
        <v>4.26666666666667</v>
      </c>
      <c r="X48" s="15">
        <v>60</v>
      </c>
      <c r="Y48" s="17">
        <f t="shared" si="12"/>
        <v>30</v>
      </c>
      <c r="Z48" s="17">
        <f t="shared" si="13"/>
        <v>30</v>
      </c>
      <c r="AA48" s="15">
        <f t="shared" si="14"/>
        <v>6</v>
      </c>
      <c r="AB48" s="15">
        <f t="shared" si="15"/>
        <v>56.25</v>
      </c>
      <c r="AC48" s="15">
        <f t="shared" si="16"/>
        <v>18.75</v>
      </c>
      <c r="AD48" s="15">
        <f t="shared" si="17"/>
        <v>75</v>
      </c>
      <c r="AE48" s="19">
        <f t="shared" si="18"/>
        <v>51.6</v>
      </c>
      <c r="AF48" s="20">
        <v>86</v>
      </c>
      <c r="AG48" s="20">
        <f t="shared" si="19"/>
        <v>5.16</v>
      </c>
      <c r="AH48" s="32">
        <v>86</v>
      </c>
      <c r="AI48" s="20">
        <f t="shared" si="21"/>
        <v>4.3</v>
      </c>
      <c r="AJ48" s="20">
        <f t="shared" si="22"/>
        <v>86</v>
      </c>
      <c r="AK48" s="20">
        <f t="shared" si="23"/>
        <v>4.3</v>
      </c>
      <c r="AL48" s="20">
        <f t="shared" si="24"/>
        <v>15.2</v>
      </c>
      <c r="AM48" s="20">
        <f t="shared" si="25"/>
        <v>28.96</v>
      </c>
    </row>
    <row r="49" ht="66" spans="3:39">
      <c r="C49" s="12">
        <v>44</v>
      </c>
      <c r="D49" s="13" t="s">
        <v>128</v>
      </c>
      <c r="E49" s="13" t="s">
        <v>129</v>
      </c>
      <c r="F49" s="14" t="s">
        <v>42</v>
      </c>
      <c r="G49" s="14" t="s">
        <v>42</v>
      </c>
      <c r="H49" s="13" t="s">
        <v>42</v>
      </c>
      <c r="I49" s="14">
        <v>54</v>
      </c>
      <c r="J49" s="15">
        <v>37</v>
      </c>
      <c r="K49" s="15">
        <f t="shared" si="0"/>
        <v>17</v>
      </c>
      <c r="L49" s="15">
        <f t="shared" si="1"/>
        <v>67.5</v>
      </c>
      <c r="M49" s="15">
        <f t="shared" si="2"/>
        <v>22.5</v>
      </c>
      <c r="N49" s="16">
        <f t="shared" si="3"/>
        <v>90</v>
      </c>
      <c r="O49" s="17">
        <f t="shared" si="4"/>
        <v>7.2</v>
      </c>
      <c r="P49" s="15">
        <v>37</v>
      </c>
      <c r="Q49" s="15">
        <f t="shared" si="5"/>
        <v>13</v>
      </c>
      <c r="R49" s="15">
        <f t="shared" si="6"/>
        <v>24</v>
      </c>
      <c r="S49" s="15">
        <f t="shared" si="7"/>
        <v>30</v>
      </c>
      <c r="T49" s="15">
        <f t="shared" si="8"/>
        <v>61.6666666666667</v>
      </c>
      <c r="U49" s="15">
        <f t="shared" si="9"/>
        <v>46</v>
      </c>
      <c r="V49" s="18">
        <f t="shared" si="10"/>
        <v>15.6666666666667</v>
      </c>
      <c r="W49" s="15">
        <f t="shared" si="11"/>
        <v>4.93333333333333</v>
      </c>
      <c r="X49" s="15">
        <v>48</v>
      </c>
      <c r="Y49" s="17">
        <f t="shared" si="12"/>
        <v>24</v>
      </c>
      <c r="Z49" s="17">
        <f t="shared" si="13"/>
        <v>24</v>
      </c>
      <c r="AA49" s="15">
        <f t="shared" si="14"/>
        <v>4.8</v>
      </c>
      <c r="AB49" s="15">
        <f t="shared" si="15"/>
        <v>45</v>
      </c>
      <c r="AC49" s="15">
        <f t="shared" si="16"/>
        <v>15</v>
      </c>
      <c r="AD49" s="15">
        <f t="shared" si="17"/>
        <v>60</v>
      </c>
      <c r="AE49" s="19">
        <f t="shared" si="18"/>
        <v>54</v>
      </c>
      <c r="AF49" s="20">
        <v>90</v>
      </c>
      <c r="AG49" s="20">
        <f t="shared" si="19"/>
        <v>5.4</v>
      </c>
      <c r="AH49" s="20">
        <f t="shared" si="27"/>
        <v>90</v>
      </c>
      <c r="AI49" s="20">
        <f t="shared" si="21"/>
        <v>4.5</v>
      </c>
      <c r="AJ49" s="20">
        <f t="shared" si="22"/>
        <v>90</v>
      </c>
      <c r="AK49" s="20">
        <f t="shared" si="23"/>
        <v>4.5</v>
      </c>
      <c r="AL49" s="20">
        <f t="shared" si="24"/>
        <v>16.9333333333333</v>
      </c>
      <c r="AM49" s="20">
        <f t="shared" si="25"/>
        <v>31.3333333333333</v>
      </c>
    </row>
    <row r="50" ht="66" spans="3:39">
      <c r="C50" s="12">
        <v>45</v>
      </c>
      <c r="D50" s="13" t="s">
        <v>130</v>
      </c>
      <c r="E50" s="13" t="s">
        <v>131</v>
      </c>
      <c r="F50" s="14" t="s">
        <v>43</v>
      </c>
      <c r="G50" s="14" t="s">
        <v>43</v>
      </c>
      <c r="H50" s="13" t="s">
        <v>43</v>
      </c>
      <c r="I50" s="14">
        <v>45</v>
      </c>
      <c r="J50" s="15">
        <v>33</v>
      </c>
      <c r="K50" s="15">
        <f t="shared" si="0"/>
        <v>12</v>
      </c>
      <c r="L50" s="15">
        <f t="shared" si="1"/>
        <v>56.25</v>
      </c>
      <c r="M50" s="15">
        <f t="shared" si="2"/>
        <v>18.75</v>
      </c>
      <c r="N50" s="16">
        <f t="shared" si="3"/>
        <v>75</v>
      </c>
      <c r="O50" s="17">
        <f t="shared" si="4"/>
        <v>6</v>
      </c>
      <c r="P50" s="15">
        <v>33</v>
      </c>
      <c r="Q50" s="15">
        <f t="shared" si="5"/>
        <v>11</v>
      </c>
      <c r="R50" s="15">
        <f t="shared" si="6"/>
        <v>22</v>
      </c>
      <c r="S50" s="15">
        <f t="shared" si="7"/>
        <v>23</v>
      </c>
      <c r="T50" s="15">
        <f t="shared" si="8"/>
        <v>55</v>
      </c>
      <c r="U50" s="15">
        <f t="shared" si="9"/>
        <v>41</v>
      </c>
      <c r="V50" s="18">
        <f t="shared" si="10"/>
        <v>14</v>
      </c>
      <c r="W50" s="15">
        <f t="shared" si="11"/>
        <v>4.4</v>
      </c>
      <c r="X50" s="15">
        <v>49</v>
      </c>
      <c r="Y50" s="17">
        <f t="shared" si="12"/>
        <v>24</v>
      </c>
      <c r="Z50" s="17">
        <f t="shared" si="13"/>
        <v>25</v>
      </c>
      <c r="AA50" s="15">
        <f t="shared" si="14"/>
        <v>4.9</v>
      </c>
      <c r="AB50" s="15">
        <f t="shared" si="15"/>
        <v>45.9375</v>
      </c>
      <c r="AC50" s="15">
        <f t="shared" si="16"/>
        <v>15.3125</v>
      </c>
      <c r="AD50" s="15">
        <f t="shared" si="17"/>
        <v>61.25</v>
      </c>
      <c r="AE50" s="19">
        <f t="shared" si="18"/>
        <v>51</v>
      </c>
      <c r="AF50" s="20">
        <v>85</v>
      </c>
      <c r="AG50" s="20">
        <f t="shared" si="19"/>
        <v>5.1</v>
      </c>
      <c r="AH50" s="32">
        <v>85</v>
      </c>
      <c r="AI50" s="20">
        <f t="shared" si="21"/>
        <v>4.25</v>
      </c>
      <c r="AJ50" s="20">
        <f t="shared" si="22"/>
        <v>85</v>
      </c>
      <c r="AK50" s="20">
        <f t="shared" si="23"/>
        <v>4.25</v>
      </c>
      <c r="AL50" s="20">
        <f t="shared" si="24"/>
        <v>15.3</v>
      </c>
      <c r="AM50" s="20">
        <f t="shared" si="25"/>
        <v>28.9</v>
      </c>
    </row>
    <row r="51" ht="49.5" spans="3:39">
      <c r="C51" s="12">
        <v>46</v>
      </c>
      <c r="D51" s="13" t="s">
        <v>132</v>
      </c>
      <c r="E51" s="13" t="s">
        <v>133</v>
      </c>
      <c r="F51" s="14" t="s">
        <v>42</v>
      </c>
      <c r="G51" s="14" t="s">
        <v>42</v>
      </c>
      <c r="H51" s="13" t="s">
        <v>43</v>
      </c>
      <c r="I51" s="14">
        <v>56</v>
      </c>
      <c r="J51" s="15">
        <v>36</v>
      </c>
      <c r="K51" s="15">
        <f t="shared" si="0"/>
        <v>20</v>
      </c>
      <c r="L51" s="15">
        <f t="shared" si="1"/>
        <v>70</v>
      </c>
      <c r="M51" s="15">
        <f t="shared" si="2"/>
        <v>23.3333333333333</v>
      </c>
      <c r="N51" s="16">
        <f t="shared" si="3"/>
        <v>93.3333333333333</v>
      </c>
      <c r="O51" s="17">
        <f t="shared" si="4"/>
        <v>7.46666666666667</v>
      </c>
      <c r="P51" s="15">
        <v>52</v>
      </c>
      <c r="Q51" s="15">
        <f t="shared" si="5"/>
        <v>18</v>
      </c>
      <c r="R51" s="15">
        <f t="shared" si="6"/>
        <v>34</v>
      </c>
      <c r="S51" s="15">
        <f t="shared" si="7"/>
        <v>38</v>
      </c>
      <c r="T51" s="15">
        <f t="shared" si="8"/>
        <v>86.6666666666667</v>
      </c>
      <c r="U51" s="15">
        <f t="shared" si="9"/>
        <v>65</v>
      </c>
      <c r="V51" s="18">
        <f t="shared" si="10"/>
        <v>21.6666666666667</v>
      </c>
      <c r="W51" s="15">
        <f t="shared" si="11"/>
        <v>6.93333333333333</v>
      </c>
      <c r="X51" s="15">
        <v>56</v>
      </c>
      <c r="Y51" s="17">
        <f t="shared" si="12"/>
        <v>28</v>
      </c>
      <c r="Z51" s="17">
        <f t="shared" si="13"/>
        <v>28</v>
      </c>
      <c r="AA51" s="15">
        <f t="shared" si="14"/>
        <v>5.6</v>
      </c>
      <c r="AB51" s="15">
        <f t="shared" si="15"/>
        <v>52.5</v>
      </c>
      <c r="AC51" s="15">
        <f t="shared" si="16"/>
        <v>17.5</v>
      </c>
      <c r="AD51" s="15">
        <f t="shared" si="17"/>
        <v>70</v>
      </c>
      <c r="AE51" s="19">
        <f t="shared" si="18"/>
        <v>55.8</v>
      </c>
      <c r="AF51" s="20">
        <v>93</v>
      </c>
      <c r="AG51" s="20">
        <f t="shared" si="19"/>
        <v>5.58</v>
      </c>
      <c r="AH51" s="20">
        <f t="shared" ref="AH51:AH61" si="28">AF51</f>
        <v>93</v>
      </c>
      <c r="AI51" s="20">
        <f t="shared" si="21"/>
        <v>4.65</v>
      </c>
      <c r="AJ51" s="20">
        <f t="shared" si="22"/>
        <v>93</v>
      </c>
      <c r="AK51" s="20">
        <f t="shared" si="23"/>
        <v>4.65</v>
      </c>
      <c r="AL51" s="20">
        <f t="shared" si="24"/>
        <v>20</v>
      </c>
      <c r="AM51" s="20">
        <f t="shared" si="25"/>
        <v>34.88</v>
      </c>
    </row>
    <row r="52" ht="49.5" spans="3:39">
      <c r="C52" s="12">
        <v>47</v>
      </c>
      <c r="D52" s="13" t="s">
        <v>134</v>
      </c>
      <c r="E52" s="13" t="s">
        <v>135</v>
      </c>
      <c r="F52" s="14" t="s">
        <v>43</v>
      </c>
      <c r="G52" s="14" t="s">
        <v>43</v>
      </c>
      <c r="H52" s="13" t="s">
        <v>43</v>
      </c>
      <c r="I52" s="14">
        <v>24</v>
      </c>
      <c r="J52" s="15">
        <v>16</v>
      </c>
      <c r="K52" s="15">
        <f t="shared" si="0"/>
        <v>8</v>
      </c>
      <c r="L52" s="15">
        <f t="shared" si="1"/>
        <v>30</v>
      </c>
      <c r="M52" s="15">
        <f t="shared" si="2"/>
        <v>10</v>
      </c>
      <c r="N52" s="16">
        <f t="shared" si="3"/>
        <v>40</v>
      </c>
      <c r="O52" s="17">
        <f t="shared" si="4"/>
        <v>3.2</v>
      </c>
      <c r="P52" s="21">
        <v>39</v>
      </c>
      <c r="Q52" s="15">
        <f t="shared" si="5"/>
        <v>13</v>
      </c>
      <c r="R52" s="15">
        <f t="shared" si="6"/>
        <v>26</v>
      </c>
      <c r="S52" s="15">
        <f t="shared" si="7"/>
        <v>21</v>
      </c>
      <c r="T52" s="15">
        <f t="shared" si="8"/>
        <v>65</v>
      </c>
      <c r="U52" s="15">
        <f t="shared" si="9"/>
        <v>48</v>
      </c>
      <c r="V52" s="18">
        <f t="shared" si="10"/>
        <v>17</v>
      </c>
      <c r="W52" s="15">
        <f t="shared" si="11"/>
        <v>5.2</v>
      </c>
      <c r="X52" s="15">
        <v>49</v>
      </c>
      <c r="Y52" s="17">
        <f t="shared" si="12"/>
        <v>24</v>
      </c>
      <c r="Z52" s="17">
        <f t="shared" si="13"/>
        <v>25</v>
      </c>
      <c r="AA52" s="15">
        <f t="shared" si="14"/>
        <v>4.9</v>
      </c>
      <c r="AB52" s="15">
        <f t="shared" si="15"/>
        <v>45.9375</v>
      </c>
      <c r="AC52" s="15">
        <f t="shared" si="16"/>
        <v>15.3125</v>
      </c>
      <c r="AD52" s="15">
        <f t="shared" si="17"/>
        <v>61.25</v>
      </c>
      <c r="AE52" s="19">
        <f t="shared" si="18"/>
        <v>49.2</v>
      </c>
      <c r="AF52" s="20">
        <v>82</v>
      </c>
      <c r="AG52" s="20">
        <f t="shared" si="19"/>
        <v>4.92</v>
      </c>
      <c r="AH52" s="20">
        <f t="shared" si="28"/>
        <v>82</v>
      </c>
      <c r="AI52" s="20">
        <f t="shared" si="21"/>
        <v>4.1</v>
      </c>
      <c r="AJ52" s="20">
        <f t="shared" si="22"/>
        <v>82</v>
      </c>
      <c r="AK52" s="20">
        <f t="shared" si="23"/>
        <v>4.1</v>
      </c>
      <c r="AL52" s="20">
        <f t="shared" si="24"/>
        <v>13.3</v>
      </c>
      <c r="AM52" s="20">
        <f t="shared" si="25"/>
        <v>26.42</v>
      </c>
    </row>
    <row r="53" ht="33" spans="3:39">
      <c r="C53" s="12">
        <v>48</v>
      </c>
      <c r="D53" s="13" t="s">
        <v>136</v>
      </c>
      <c r="E53" s="13" t="s">
        <v>137</v>
      </c>
      <c r="F53" s="14" t="s">
        <v>42</v>
      </c>
      <c r="G53" s="14" t="s">
        <v>42</v>
      </c>
      <c r="H53" s="13" t="s">
        <v>42</v>
      </c>
      <c r="I53" s="14">
        <v>53</v>
      </c>
      <c r="J53" s="15">
        <v>33</v>
      </c>
      <c r="K53" s="15">
        <f t="shared" si="0"/>
        <v>20</v>
      </c>
      <c r="L53" s="15">
        <f t="shared" si="1"/>
        <v>66.25</v>
      </c>
      <c r="M53" s="15">
        <f t="shared" si="2"/>
        <v>22.0833333333333</v>
      </c>
      <c r="N53" s="16">
        <f t="shared" si="3"/>
        <v>88.3333333333333</v>
      </c>
      <c r="O53" s="17">
        <f t="shared" si="4"/>
        <v>7.06666666666667</v>
      </c>
      <c r="P53" s="15">
        <v>49</v>
      </c>
      <c r="Q53" s="15">
        <f t="shared" si="5"/>
        <v>17</v>
      </c>
      <c r="R53" s="15">
        <f t="shared" si="6"/>
        <v>32</v>
      </c>
      <c r="S53" s="15">
        <f t="shared" si="7"/>
        <v>37</v>
      </c>
      <c r="T53" s="15">
        <f t="shared" si="8"/>
        <v>81.6666666666667</v>
      </c>
      <c r="U53" s="15">
        <f t="shared" si="9"/>
        <v>61</v>
      </c>
      <c r="V53" s="18">
        <f t="shared" si="10"/>
        <v>20.6666666666667</v>
      </c>
      <c r="W53" s="15">
        <f t="shared" si="11"/>
        <v>6.53333333333333</v>
      </c>
      <c r="X53" s="15">
        <v>64</v>
      </c>
      <c r="Y53" s="17">
        <f t="shared" si="12"/>
        <v>32</v>
      </c>
      <c r="Z53" s="17">
        <f t="shared" si="13"/>
        <v>32</v>
      </c>
      <c r="AA53" s="15">
        <f t="shared" si="14"/>
        <v>6.4</v>
      </c>
      <c r="AB53" s="15">
        <f t="shared" si="15"/>
        <v>60</v>
      </c>
      <c r="AC53" s="15">
        <f t="shared" si="16"/>
        <v>20</v>
      </c>
      <c r="AD53" s="15">
        <f t="shared" si="17"/>
        <v>80</v>
      </c>
      <c r="AE53" s="19">
        <f t="shared" si="18"/>
        <v>56.4</v>
      </c>
      <c r="AF53" s="20">
        <v>94</v>
      </c>
      <c r="AG53" s="20">
        <f t="shared" si="19"/>
        <v>5.64</v>
      </c>
      <c r="AH53" s="20">
        <f t="shared" si="28"/>
        <v>94</v>
      </c>
      <c r="AI53" s="20">
        <f t="shared" si="21"/>
        <v>4.7</v>
      </c>
      <c r="AJ53" s="20">
        <f t="shared" si="22"/>
        <v>94</v>
      </c>
      <c r="AK53" s="20">
        <f t="shared" si="23"/>
        <v>4.7</v>
      </c>
      <c r="AL53" s="20">
        <f t="shared" si="24"/>
        <v>20</v>
      </c>
      <c r="AM53" s="20">
        <f t="shared" si="25"/>
        <v>35.04</v>
      </c>
    </row>
    <row r="54" ht="33" spans="3:39">
      <c r="C54" s="12">
        <v>49</v>
      </c>
      <c r="D54" s="13" t="s">
        <v>138</v>
      </c>
      <c r="E54" s="13" t="s">
        <v>139</v>
      </c>
      <c r="F54" s="14" t="s">
        <v>43</v>
      </c>
      <c r="G54" s="14" t="s">
        <v>43</v>
      </c>
      <c r="H54" s="13" t="s">
        <v>43</v>
      </c>
      <c r="I54" s="14">
        <v>41</v>
      </c>
      <c r="J54" s="15">
        <v>31</v>
      </c>
      <c r="K54" s="15">
        <f t="shared" si="0"/>
        <v>10</v>
      </c>
      <c r="L54" s="15">
        <f t="shared" si="1"/>
        <v>51.25</v>
      </c>
      <c r="M54" s="15">
        <f t="shared" si="2"/>
        <v>17.0833333333333</v>
      </c>
      <c r="N54" s="16">
        <f t="shared" si="3"/>
        <v>68.3333333333333</v>
      </c>
      <c r="O54" s="17">
        <f t="shared" si="4"/>
        <v>5.46666666666667</v>
      </c>
      <c r="P54" s="15">
        <v>44</v>
      </c>
      <c r="Q54" s="15">
        <f t="shared" si="5"/>
        <v>15</v>
      </c>
      <c r="R54" s="15">
        <f t="shared" si="6"/>
        <v>29</v>
      </c>
      <c r="S54" s="15">
        <f t="shared" si="7"/>
        <v>25</v>
      </c>
      <c r="T54" s="15">
        <f t="shared" si="8"/>
        <v>73.3333333333333</v>
      </c>
      <c r="U54" s="15">
        <f t="shared" si="9"/>
        <v>55</v>
      </c>
      <c r="V54" s="18">
        <f t="shared" si="10"/>
        <v>18.3333333333333</v>
      </c>
      <c r="W54" s="15">
        <f t="shared" si="11"/>
        <v>5.86666666666667</v>
      </c>
      <c r="X54" s="15">
        <v>59</v>
      </c>
      <c r="Y54" s="17">
        <f t="shared" si="12"/>
        <v>29</v>
      </c>
      <c r="Z54" s="17">
        <f t="shared" si="13"/>
        <v>30</v>
      </c>
      <c r="AA54" s="15">
        <f t="shared" si="14"/>
        <v>5.9</v>
      </c>
      <c r="AB54" s="15">
        <f t="shared" si="15"/>
        <v>55.3125</v>
      </c>
      <c r="AC54" s="15">
        <f t="shared" si="16"/>
        <v>18.4375</v>
      </c>
      <c r="AD54" s="15">
        <f t="shared" si="17"/>
        <v>73.75</v>
      </c>
      <c r="AE54" s="19">
        <f t="shared" si="18"/>
        <v>54</v>
      </c>
      <c r="AF54" s="20">
        <v>90</v>
      </c>
      <c r="AG54" s="20">
        <f t="shared" si="19"/>
        <v>5.4</v>
      </c>
      <c r="AH54" s="20">
        <f t="shared" si="28"/>
        <v>90</v>
      </c>
      <c r="AI54" s="20">
        <f t="shared" si="21"/>
        <v>4.5</v>
      </c>
      <c r="AJ54" s="20">
        <f t="shared" si="22"/>
        <v>90</v>
      </c>
      <c r="AK54" s="20">
        <f t="shared" si="23"/>
        <v>4.5</v>
      </c>
      <c r="AL54" s="20">
        <f t="shared" si="24"/>
        <v>17.2333333333333</v>
      </c>
      <c r="AM54" s="20">
        <f t="shared" si="25"/>
        <v>31.6333333333333</v>
      </c>
    </row>
    <row r="55" ht="99" spans="3:39">
      <c r="C55" s="12">
        <v>50</v>
      </c>
      <c r="D55" s="13" t="s">
        <v>140</v>
      </c>
      <c r="E55" s="13" t="s">
        <v>141</v>
      </c>
      <c r="F55" s="14" t="s">
        <v>42</v>
      </c>
      <c r="G55" s="14" t="s">
        <v>42</v>
      </c>
      <c r="H55" s="13" t="s">
        <v>42</v>
      </c>
      <c r="I55" s="14">
        <v>50</v>
      </c>
      <c r="J55" s="15">
        <v>33</v>
      </c>
      <c r="K55" s="15">
        <f t="shared" si="0"/>
        <v>17</v>
      </c>
      <c r="L55" s="15">
        <f t="shared" si="1"/>
        <v>62.5</v>
      </c>
      <c r="M55" s="15">
        <f t="shared" si="2"/>
        <v>20.8333333333333</v>
      </c>
      <c r="N55" s="16">
        <f t="shared" si="3"/>
        <v>83.3333333333333</v>
      </c>
      <c r="O55" s="17">
        <f t="shared" si="4"/>
        <v>6.66666666666667</v>
      </c>
      <c r="P55" s="15">
        <v>51</v>
      </c>
      <c r="Q55" s="15">
        <f t="shared" si="5"/>
        <v>17</v>
      </c>
      <c r="R55" s="15">
        <f t="shared" si="6"/>
        <v>34</v>
      </c>
      <c r="S55" s="15">
        <f t="shared" si="7"/>
        <v>34</v>
      </c>
      <c r="T55" s="15">
        <f t="shared" si="8"/>
        <v>85</v>
      </c>
      <c r="U55" s="15">
        <f t="shared" si="9"/>
        <v>63</v>
      </c>
      <c r="V55" s="18">
        <f t="shared" si="10"/>
        <v>22</v>
      </c>
      <c r="W55" s="15">
        <f t="shared" si="11"/>
        <v>6.8</v>
      </c>
      <c r="X55" s="15">
        <v>72</v>
      </c>
      <c r="Y55" s="17">
        <f t="shared" si="12"/>
        <v>36</v>
      </c>
      <c r="Z55" s="17">
        <f t="shared" si="13"/>
        <v>36</v>
      </c>
      <c r="AA55" s="15">
        <f t="shared" si="14"/>
        <v>7.2</v>
      </c>
      <c r="AB55" s="15">
        <f t="shared" si="15"/>
        <v>67.5</v>
      </c>
      <c r="AC55" s="15">
        <f t="shared" si="16"/>
        <v>22.5</v>
      </c>
      <c r="AD55" s="15">
        <f t="shared" si="17"/>
        <v>90</v>
      </c>
      <c r="AE55" s="19">
        <f t="shared" si="18"/>
        <v>57.6</v>
      </c>
      <c r="AF55" s="20">
        <v>96</v>
      </c>
      <c r="AG55" s="20">
        <f t="shared" si="19"/>
        <v>5.76</v>
      </c>
      <c r="AH55" s="20">
        <f t="shared" si="28"/>
        <v>96</v>
      </c>
      <c r="AI55" s="20">
        <f t="shared" si="21"/>
        <v>4.8</v>
      </c>
      <c r="AJ55" s="20">
        <f t="shared" si="22"/>
        <v>96</v>
      </c>
      <c r="AK55" s="20">
        <f t="shared" si="23"/>
        <v>4.8</v>
      </c>
      <c r="AL55" s="20">
        <f t="shared" si="24"/>
        <v>20.6666666666667</v>
      </c>
      <c r="AM55" s="20">
        <f t="shared" si="25"/>
        <v>36.0266666666667</v>
      </c>
    </row>
    <row r="56" ht="66" spans="3:39">
      <c r="C56" s="12">
        <v>51</v>
      </c>
      <c r="D56" s="13" t="s">
        <v>142</v>
      </c>
      <c r="E56" s="13" t="s">
        <v>143</v>
      </c>
      <c r="F56" s="14" t="s">
        <v>43</v>
      </c>
      <c r="G56" s="14" t="s">
        <v>43</v>
      </c>
      <c r="H56" s="13" t="s">
        <v>43</v>
      </c>
      <c r="I56" s="14">
        <v>30</v>
      </c>
      <c r="J56" s="15">
        <v>21</v>
      </c>
      <c r="K56" s="15">
        <f t="shared" si="0"/>
        <v>9</v>
      </c>
      <c r="L56" s="15">
        <f t="shared" si="1"/>
        <v>37.5</v>
      </c>
      <c r="M56" s="15">
        <f t="shared" si="2"/>
        <v>12.5</v>
      </c>
      <c r="N56" s="16">
        <f t="shared" si="3"/>
        <v>50</v>
      </c>
      <c r="O56" s="17">
        <f t="shared" si="4"/>
        <v>4</v>
      </c>
      <c r="P56" s="15">
        <v>49</v>
      </c>
      <c r="Q56" s="15">
        <f t="shared" si="5"/>
        <v>17</v>
      </c>
      <c r="R56" s="15">
        <f t="shared" si="6"/>
        <v>32</v>
      </c>
      <c r="S56" s="15">
        <f t="shared" si="7"/>
        <v>26</v>
      </c>
      <c r="T56" s="15">
        <f t="shared" si="8"/>
        <v>81.6666666666667</v>
      </c>
      <c r="U56" s="15">
        <f t="shared" si="9"/>
        <v>61</v>
      </c>
      <c r="V56" s="18">
        <f t="shared" si="10"/>
        <v>20.6666666666667</v>
      </c>
      <c r="W56" s="15">
        <f t="shared" si="11"/>
        <v>6.53333333333333</v>
      </c>
      <c r="X56" s="15">
        <v>53</v>
      </c>
      <c r="Y56" s="17">
        <f t="shared" si="12"/>
        <v>26</v>
      </c>
      <c r="Z56" s="17">
        <f t="shared" si="13"/>
        <v>27</v>
      </c>
      <c r="AA56" s="15">
        <f t="shared" si="14"/>
        <v>5.3</v>
      </c>
      <c r="AB56" s="15">
        <f t="shared" si="15"/>
        <v>49.6875</v>
      </c>
      <c r="AC56" s="15">
        <f t="shared" si="16"/>
        <v>16.5625</v>
      </c>
      <c r="AD56" s="15">
        <f t="shared" si="17"/>
        <v>66.25</v>
      </c>
      <c r="AE56" s="19">
        <f t="shared" si="18"/>
        <v>55.2</v>
      </c>
      <c r="AF56" s="20">
        <v>92</v>
      </c>
      <c r="AG56" s="20">
        <f t="shared" si="19"/>
        <v>5.52</v>
      </c>
      <c r="AH56" s="20">
        <f t="shared" si="28"/>
        <v>92</v>
      </c>
      <c r="AI56" s="20">
        <f t="shared" si="21"/>
        <v>4.6</v>
      </c>
      <c r="AJ56" s="20">
        <f t="shared" si="22"/>
        <v>92</v>
      </c>
      <c r="AK56" s="20">
        <f t="shared" si="23"/>
        <v>4.6</v>
      </c>
      <c r="AL56" s="20">
        <f t="shared" si="24"/>
        <v>15.8333333333333</v>
      </c>
      <c r="AM56" s="20">
        <f t="shared" si="25"/>
        <v>30.5533333333333</v>
      </c>
    </row>
    <row r="57" ht="49.5" spans="3:39">
      <c r="C57" s="12">
        <v>52</v>
      </c>
      <c r="D57" s="13" t="s">
        <v>144</v>
      </c>
      <c r="E57" s="13" t="s">
        <v>145</v>
      </c>
      <c r="F57" s="14" t="s">
        <v>43</v>
      </c>
      <c r="G57" s="14" t="s">
        <v>43</v>
      </c>
      <c r="H57" s="13" t="s">
        <v>43</v>
      </c>
      <c r="I57" s="14">
        <v>24</v>
      </c>
      <c r="J57" s="15">
        <v>15</v>
      </c>
      <c r="K57" s="15">
        <f t="shared" si="0"/>
        <v>9</v>
      </c>
      <c r="L57" s="15">
        <f t="shared" si="1"/>
        <v>30</v>
      </c>
      <c r="M57" s="15">
        <f t="shared" si="2"/>
        <v>10</v>
      </c>
      <c r="N57" s="16">
        <f t="shared" si="3"/>
        <v>40</v>
      </c>
      <c r="O57" s="17">
        <f t="shared" si="4"/>
        <v>3.2</v>
      </c>
      <c r="P57" s="15">
        <v>30</v>
      </c>
      <c r="Q57" s="15">
        <f t="shared" si="5"/>
        <v>10</v>
      </c>
      <c r="R57" s="15">
        <f t="shared" si="6"/>
        <v>20</v>
      </c>
      <c r="S57" s="15">
        <f t="shared" si="7"/>
        <v>19</v>
      </c>
      <c r="T57" s="15">
        <f t="shared" si="8"/>
        <v>50</v>
      </c>
      <c r="U57" s="15">
        <f t="shared" si="9"/>
        <v>37</v>
      </c>
      <c r="V57" s="18">
        <f t="shared" si="10"/>
        <v>13</v>
      </c>
      <c r="W57" s="15">
        <f t="shared" si="11"/>
        <v>4</v>
      </c>
      <c r="X57" s="15">
        <v>40</v>
      </c>
      <c r="Y57" s="17">
        <f t="shared" si="12"/>
        <v>20</v>
      </c>
      <c r="Z57" s="17">
        <f t="shared" si="13"/>
        <v>20</v>
      </c>
      <c r="AA57" s="15">
        <f t="shared" si="14"/>
        <v>4</v>
      </c>
      <c r="AB57" s="15">
        <f t="shared" si="15"/>
        <v>37.5</v>
      </c>
      <c r="AC57" s="15">
        <f t="shared" si="16"/>
        <v>12.5</v>
      </c>
      <c r="AD57" s="15">
        <f t="shared" si="17"/>
        <v>50</v>
      </c>
      <c r="AE57" s="19">
        <f t="shared" si="18"/>
        <v>50.4</v>
      </c>
      <c r="AF57" s="20">
        <v>84</v>
      </c>
      <c r="AG57" s="20">
        <f t="shared" si="19"/>
        <v>5.04</v>
      </c>
      <c r="AH57" s="20">
        <f t="shared" si="28"/>
        <v>84</v>
      </c>
      <c r="AI57" s="20">
        <f t="shared" si="21"/>
        <v>4.2</v>
      </c>
      <c r="AJ57" s="20">
        <f t="shared" si="22"/>
        <v>84</v>
      </c>
      <c r="AK57" s="20">
        <f t="shared" si="23"/>
        <v>4.2</v>
      </c>
      <c r="AL57" s="20">
        <f t="shared" si="24"/>
        <v>11.2</v>
      </c>
      <c r="AM57" s="20">
        <f t="shared" si="25"/>
        <v>24.64</v>
      </c>
    </row>
    <row r="58" ht="49.5" spans="3:39">
      <c r="C58" s="12">
        <v>53</v>
      </c>
      <c r="D58" s="13" t="s">
        <v>146</v>
      </c>
      <c r="E58" s="13" t="s">
        <v>147</v>
      </c>
      <c r="F58" s="14" t="s">
        <v>43</v>
      </c>
      <c r="G58" s="14" t="s">
        <v>43</v>
      </c>
      <c r="H58" s="13" t="s">
        <v>43</v>
      </c>
      <c r="I58" s="14">
        <v>24</v>
      </c>
      <c r="J58" s="15">
        <v>15</v>
      </c>
      <c r="K58" s="15">
        <f t="shared" si="0"/>
        <v>9</v>
      </c>
      <c r="L58" s="15">
        <f t="shared" si="1"/>
        <v>30</v>
      </c>
      <c r="M58" s="15">
        <f t="shared" si="2"/>
        <v>10</v>
      </c>
      <c r="N58" s="16">
        <f t="shared" si="3"/>
        <v>40</v>
      </c>
      <c r="O58" s="17">
        <f t="shared" si="4"/>
        <v>3.2</v>
      </c>
      <c r="P58" s="15">
        <v>30</v>
      </c>
      <c r="Q58" s="15">
        <f t="shared" si="5"/>
        <v>10</v>
      </c>
      <c r="R58" s="15">
        <f t="shared" si="6"/>
        <v>20</v>
      </c>
      <c r="S58" s="15">
        <f t="shared" si="7"/>
        <v>19</v>
      </c>
      <c r="T58" s="15">
        <f t="shared" si="8"/>
        <v>50</v>
      </c>
      <c r="U58" s="15">
        <f t="shared" si="9"/>
        <v>37</v>
      </c>
      <c r="V58" s="18">
        <f t="shared" si="10"/>
        <v>13</v>
      </c>
      <c r="W58" s="15">
        <f t="shared" si="11"/>
        <v>4</v>
      </c>
      <c r="X58" s="15">
        <v>40</v>
      </c>
      <c r="Y58" s="17">
        <f t="shared" si="12"/>
        <v>20</v>
      </c>
      <c r="Z58" s="17">
        <f t="shared" si="13"/>
        <v>20</v>
      </c>
      <c r="AA58" s="15">
        <f t="shared" si="14"/>
        <v>4</v>
      </c>
      <c r="AB58" s="15">
        <f t="shared" si="15"/>
        <v>37.5</v>
      </c>
      <c r="AC58" s="15">
        <f t="shared" si="16"/>
        <v>12.5</v>
      </c>
      <c r="AD58" s="15">
        <f t="shared" si="17"/>
        <v>50</v>
      </c>
      <c r="AE58" s="19">
        <f t="shared" si="18"/>
        <v>50.4</v>
      </c>
      <c r="AF58" s="20">
        <v>84</v>
      </c>
      <c r="AG58" s="20">
        <f t="shared" si="19"/>
        <v>5.04</v>
      </c>
      <c r="AH58" s="20">
        <f t="shared" si="28"/>
        <v>84</v>
      </c>
      <c r="AI58" s="20">
        <f t="shared" si="21"/>
        <v>4.2</v>
      </c>
      <c r="AJ58" s="20">
        <f t="shared" si="22"/>
        <v>84</v>
      </c>
      <c r="AK58" s="20">
        <f t="shared" si="23"/>
        <v>4.2</v>
      </c>
      <c r="AL58" s="20">
        <f t="shared" si="24"/>
        <v>11.2</v>
      </c>
      <c r="AM58" s="20">
        <f t="shared" si="25"/>
        <v>24.64</v>
      </c>
    </row>
    <row r="59" ht="33" spans="3:39">
      <c r="C59" s="12">
        <v>54</v>
      </c>
      <c r="D59" s="13" t="s">
        <v>148</v>
      </c>
      <c r="E59" s="13" t="s">
        <v>149</v>
      </c>
      <c r="F59" s="14" t="s">
        <v>42</v>
      </c>
      <c r="G59" s="14" t="s">
        <v>42</v>
      </c>
      <c r="H59" s="13" t="s">
        <v>42</v>
      </c>
      <c r="I59" s="14">
        <v>49</v>
      </c>
      <c r="J59" s="15">
        <v>36</v>
      </c>
      <c r="K59" s="15">
        <f t="shared" si="0"/>
        <v>13</v>
      </c>
      <c r="L59" s="15">
        <f t="shared" si="1"/>
        <v>61.25</v>
      </c>
      <c r="M59" s="15">
        <f t="shared" si="2"/>
        <v>20.4166666666667</v>
      </c>
      <c r="N59" s="16">
        <f t="shared" si="3"/>
        <v>81.6666666666667</v>
      </c>
      <c r="O59" s="17">
        <f t="shared" si="4"/>
        <v>6.53333333333333</v>
      </c>
      <c r="P59" s="15">
        <v>40</v>
      </c>
      <c r="Q59" s="15">
        <f t="shared" si="5"/>
        <v>14</v>
      </c>
      <c r="R59" s="15">
        <f t="shared" si="6"/>
        <v>26</v>
      </c>
      <c r="S59" s="15">
        <f t="shared" si="7"/>
        <v>27</v>
      </c>
      <c r="T59" s="15">
        <f t="shared" si="8"/>
        <v>66.6666666666667</v>
      </c>
      <c r="U59" s="15">
        <f t="shared" si="9"/>
        <v>50</v>
      </c>
      <c r="V59" s="18">
        <f t="shared" si="10"/>
        <v>16.6666666666667</v>
      </c>
      <c r="W59" s="15">
        <f t="shared" si="11"/>
        <v>5.33333333333333</v>
      </c>
      <c r="X59" s="15">
        <v>67</v>
      </c>
      <c r="Y59" s="17">
        <f t="shared" si="12"/>
        <v>33</v>
      </c>
      <c r="Z59" s="17">
        <f t="shared" si="13"/>
        <v>34</v>
      </c>
      <c r="AA59" s="15">
        <f t="shared" si="14"/>
        <v>6.7</v>
      </c>
      <c r="AB59" s="15">
        <f t="shared" si="15"/>
        <v>62.8125</v>
      </c>
      <c r="AC59" s="15">
        <f t="shared" si="16"/>
        <v>20.9375</v>
      </c>
      <c r="AD59" s="15">
        <f t="shared" si="17"/>
        <v>83.75</v>
      </c>
      <c r="AE59" s="19">
        <f t="shared" si="18"/>
        <v>55.8</v>
      </c>
      <c r="AF59" s="20">
        <v>93</v>
      </c>
      <c r="AG59" s="20">
        <f t="shared" si="19"/>
        <v>5.58</v>
      </c>
      <c r="AH59" s="20">
        <f t="shared" si="28"/>
        <v>93</v>
      </c>
      <c r="AI59" s="20">
        <f t="shared" si="21"/>
        <v>4.65</v>
      </c>
      <c r="AJ59" s="20">
        <f t="shared" si="22"/>
        <v>93</v>
      </c>
      <c r="AK59" s="20">
        <f t="shared" si="23"/>
        <v>4.65</v>
      </c>
      <c r="AL59" s="20">
        <f t="shared" si="24"/>
        <v>18.5666666666667</v>
      </c>
      <c r="AM59" s="20">
        <f t="shared" si="25"/>
        <v>33.4466666666667</v>
      </c>
    </row>
    <row r="60" ht="33" spans="3:39">
      <c r="C60" s="12">
        <v>55</v>
      </c>
      <c r="D60" s="13" t="s">
        <v>150</v>
      </c>
      <c r="E60" s="13" t="s">
        <v>151</v>
      </c>
      <c r="F60" s="14" t="s">
        <v>42</v>
      </c>
      <c r="G60" s="14" t="s">
        <v>42</v>
      </c>
      <c r="H60" s="13" t="s">
        <v>43</v>
      </c>
      <c r="I60" s="14">
        <v>36</v>
      </c>
      <c r="J60" s="15">
        <v>27</v>
      </c>
      <c r="K60" s="15">
        <f t="shared" si="0"/>
        <v>9</v>
      </c>
      <c r="L60" s="15">
        <f t="shared" si="1"/>
        <v>45</v>
      </c>
      <c r="M60" s="15">
        <f t="shared" si="2"/>
        <v>15</v>
      </c>
      <c r="N60" s="16">
        <f t="shared" si="3"/>
        <v>60</v>
      </c>
      <c r="O60" s="17">
        <f t="shared" si="4"/>
        <v>4.8</v>
      </c>
      <c r="P60" s="15">
        <v>49</v>
      </c>
      <c r="Q60" s="15">
        <f t="shared" si="5"/>
        <v>17</v>
      </c>
      <c r="R60" s="15">
        <f t="shared" si="6"/>
        <v>32</v>
      </c>
      <c r="S60" s="15">
        <f t="shared" si="7"/>
        <v>26</v>
      </c>
      <c r="T60" s="15">
        <f t="shared" si="8"/>
        <v>81.6666666666667</v>
      </c>
      <c r="U60" s="15">
        <f t="shared" si="9"/>
        <v>61</v>
      </c>
      <c r="V60" s="18">
        <f t="shared" si="10"/>
        <v>20.6666666666667</v>
      </c>
      <c r="W60" s="15">
        <f t="shared" si="11"/>
        <v>6.53333333333333</v>
      </c>
      <c r="X60" s="15">
        <v>67</v>
      </c>
      <c r="Y60" s="17">
        <f t="shared" si="12"/>
        <v>33</v>
      </c>
      <c r="Z60" s="17">
        <f t="shared" si="13"/>
        <v>34</v>
      </c>
      <c r="AA60" s="15">
        <f t="shared" si="14"/>
        <v>6.7</v>
      </c>
      <c r="AB60" s="15">
        <f t="shared" si="15"/>
        <v>62.8125</v>
      </c>
      <c r="AC60" s="15">
        <f t="shared" si="16"/>
        <v>20.9375</v>
      </c>
      <c r="AD60" s="15">
        <f t="shared" si="17"/>
        <v>83.75</v>
      </c>
      <c r="AE60" s="19">
        <f t="shared" si="18"/>
        <v>55.2</v>
      </c>
      <c r="AF60" s="20">
        <v>92</v>
      </c>
      <c r="AG60" s="20">
        <f t="shared" si="19"/>
        <v>5.52</v>
      </c>
      <c r="AH60" s="20">
        <f t="shared" si="28"/>
        <v>92</v>
      </c>
      <c r="AI60" s="20">
        <f t="shared" si="21"/>
        <v>4.6</v>
      </c>
      <c r="AJ60" s="20">
        <f t="shared" si="22"/>
        <v>92</v>
      </c>
      <c r="AK60" s="20">
        <f t="shared" si="23"/>
        <v>4.6</v>
      </c>
      <c r="AL60" s="20">
        <f t="shared" si="24"/>
        <v>18.0333333333333</v>
      </c>
      <c r="AM60" s="20">
        <f t="shared" si="25"/>
        <v>32.7533333333333</v>
      </c>
    </row>
    <row r="61" ht="49.5" spans="3:39">
      <c r="C61" s="12">
        <v>56</v>
      </c>
      <c r="D61" s="13" t="s">
        <v>152</v>
      </c>
      <c r="E61" s="13" t="s">
        <v>153</v>
      </c>
      <c r="F61" s="14" t="s">
        <v>42</v>
      </c>
      <c r="G61" s="14" t="s">
        <v>43</v>
      </c>
      <c r="H61" s="13" t="s">
        <v>43</v>
      </c>
      <c r="I61" s="14">
        <v>30</v>
      </c>
      <c r="J61" s="15">
        <v>19</v>
      </c>
      <c r="K61" s="15">
        <f t="shared" si="0"/>
        <v>11</v>
      </c>
      <c r="L61" s="15">
        <f t="shared" si="1"/>
        <v>37.5</v>
      </c>
      <c r="M61" s="15">
        <f t="shared" si="2"/>
        <v>12.5</v>
      </c>
      <c r="N61" s="16">
        <f t="shared" si="3"/>
        <v>50</v>
      </c>
      <c r="O61" s="17">
        <f t="shared" si="4"/>
        <v>4</v>
      </c>
      <c r="P61" s="15">
        <v>40</v>
      </c>
      <c r="Q61" s="15">
        <f t="shared" si="5"/>
        <v>14</v>
      </c>
      <c r="R61" s="15">
        <f t="shared" si="6"/>
        <v>26</v>
      </c>
      <c r="S61" s="15">
        <f t="shared" si="7"/>
        <v>25</v>
      </c>
      <c r="T61" s="15">
        <f t="shared" si="8"/>
        <v>66.6666666666667</v>
      </c>
      <c r="U61" s="15">
        <f t="shared" si="9"/>
        <v>50</v>
      </c>
      <c r="V61" s="18">
        <f t="shared" si="10"/>
        <v>16.6666666666667</v>
      </c>
      <c r="W61" s="15">
        <f t="shared" si="11"/>
        <v>5.33333333333333</v>
      </c>
      <c r="X61" s="15">
        <v>53</v>
      </c>
      <c r="Y61" s="17">
        <f t="shared" si="12"/>
        <v>26</v>
      </c>
      <c r="Z61" s="17">
        <f t="shared" si="13"/>
        <v>27</v>
      </c>
      <c r="AA61" s="15">
        <f t="shared" si="14"/>
        <v>5.3</v>
      </c>
      <c r="AB61" s="15">
        <f t="shared" si="15"/>
        <v>49.6875</v>
      </c>
      <c r="AC61" s="15">
        <f t="shared" si="16"/>
        <v>16.5625</v>
      </c>
      <c r="AD61" s="15">
        <f t="shared" si="17"/>
        <v>66.25</v>
      </c>
      <c r="AE61" s="19">
        <f t="shared" si="18"/>
        <v>54</v>
      </c>
      <c r="AF61" s="20">
        <v>90</v>
      </c>
      <c r="AG61" s="20">
        <f t="shared" si="19"/>
        <v>5.4</v>
      </c>
      <c r="AH61" s="20">
        <f t="shared" si="28"/>
        <v>90</v>
      </c>
      <c r="AI61" s="20">
        <f t="shared" si="21"/>
        <v>4.5</v>
      </c>
      <c r="AJ61" s="20">
        <f t="shared" si="22"/>
        <v>90</v>
      </c>
      <c r="AK61" s="20">
        <f t="shared" si="23"/>
        <v>4.5</v>
      </c>
      <c r="AL61" s="20">
        <f t="shared" si="24"/>
        <v>14.6333333333333</v>
      </c>
      <c r="AM61" s="20">
        <f t="shared" si="25"/>
        <v>29.0333333333333</v>
      </c>
    </row>
    <row r="62" ht="49.5" spans="3:39">
      <c r="C62" s="12">
        <v>57</v>
      </c>
      <c r="D62" s="13" t="s">
        <v>154</v>
      </c>
      <c r="E62" s="13" t="s">
        <v>155</v>
      </c>
      <c r="F62" s="14" t="s">
        <v>42</v>
      </c>
      <c r="G62" s="14" t="s">
        <v>43</v>
      </c>
      <c r="H62" s="13" t="s">
        <v>43</v>
      </c>
      <c r="I62" s="14">
        <v>47</v>
      </c>
      <c r="J62" s="15">
        <v>32</v>
      </c>
      <c r="K62" s="15">
        <f t="shared" si="0"/>
        <v>15</v>
      </c>
      <c r="L62" s="15">
        <f t="shared" si="1"/>
        <v>58.75</v>
      </c>
      <c r="M62" s="15">
        <f t="shared" si="2"/>
        <v>19.5833333333333</v>
      </c>
      <c r="N62" s="16">
        <f t="shared" si="3"/>
        <v>78.3333333333333</v>
      </c>
      <c r="O62" s="17">
        <f t="shared" si="4"/>
        <v>6.26666666666667</v>
      </c>
      <c r="P62" s="15">
        <v>41</v>
      </c>
      <c r="Q62" s="15">
        <f t="shared" si="5"/>
        <v>14</v>
      </c>
      <c r="R62" s="15">
        <f t="shared" si="6"/>
        <v>27</v>
      </c>
      <c r="S62" s="15">
        <f t="shared" si="7"/>
        <v>29</v>
      </c>
      <c r="T62" s="15">
        <f t="shared" si="8"/>
        <v>68.3333333333333</v>
      </c>
      <c r="U62" s="15">
        <f t="shared" si="9"/>
        <v>51</v>
      </c>
      <c r="V62" s="18">
        <f t="shared" si="10"/>
        <v>17.3333333333333</v>
      </c>
      <c r="W62" s="15">
        <f t="shared" si="11"/>
        <v>5.46666666666667</v>
      </c>
      <c r="X62" s="15">
        <v>58</v>
      </c>
      <c r="Y62" s="17">
        <f t="shared" si="12"/>
        <v>29</v>
      </c>
      <c r="Z62" s="17">
        <f t="shared" si="13"/>
        <v>29</v>
      </c>
      <c r="AA62" s="15">
        <f t="shared" si="14"/>
        <v>5.8</v>
      </c>
      <c r="AB62" s="15">
        <f t="shared" si="15"/>
        <v>54.375</v>
      </c>
      <c r="AC62" s="15">
        <f t="shared" si="16"/>
        <v>18.125</v>
      </c>
      <c r="AD62" s="15">
        <f t="shared" si="17"/>
        <v>72.5</v>
      </c>
      <c r="AE62" s="19">
        <f t="shared" si="18"/>
        <v>52.8</v>
      </c>
      <c r="AF62" s="20">
        <v>88</v>
      </c>
      <c r="AG62" s="20">
        <f t="shared" si="19"/>
        <v>5.28</v>
      </c>
      <c r="AH62" s="32">
        <v>94</v>
      </c>
      <c r="AI62" s="20">
        <f t="shared" si="21"/>
        <v>4.7</v>
      </c>
      <c r="AJ62" s="20">
        <f t="shared" si="22"/>
        <v>88</v>
      </c>
      <c r="AK62" s="20">
        <f t="shared" si="23"/>
        <v>4.4</v>
      </c>
      <c r="AL62" s="20">
        <f t="shared" si="24"/>
        <v>17.5333333333333</v>
      </c>
      <c r="AM62" s="20">
        <f t="shared" si="25"/>
        <v>31.9133333333333</v>
      </c>
    </row>
    <row r="63" ht="49.5" spans="3:39">
      <c r="C63" s="12">
        <v>58</v>
      </c>
      <c r="D63" s="13" t="s">
        <v>156</v>
      </c>
      <c r="E63" s="13" t="s">
        <v>157</v>
      </c>
      <c r="F63" s="14" t="s">
        <v>42</v>
      </c>
      <c r="G63" s="14" t="s">
        <v>42</v>
      </c>
      <c r="H63" s="13" t="s">
        <v>43</v>
      </c>
      <c r="I63" s="14">
        <v>32</v>
      </c>
      <c r="J63" s="15">
        <v>25</v>
      </c>
      <c r="K63" s="15">
        <f t="shared" si="0"/>
        <v>7</v>
      </c>
      <c r="L63" s="15">
        <f t="shared" si="1"/>
        <v>40</v>
      </c>
      <c r="M63" s="15">
        <f t="shared" si="2"/>
        <v>13.3333333333333</v>
      </c>
      <c r="N63" s="16">
        <f t="shared" si="3"/>
        <v>53.3333333333333</v>
      </c>
      <c r="O63" s="17">
        <f t="shared" si="4"/>
        <v>4.26666666666667</v>
      </c>
      <c r="P63" s="15">
        <v>15</v>
      </c>
      <c r="Q63" s="15">
        <f t="shared" si="5"/>
        <v>5</v>
      </c>
      <c r="R63" s="15">
        <f t="shared" si="6"/>
        <v>10</v>
      </c>
      <c r="S63" s="15">
        <f t="shared" si="7"/>
        <v>12</v>
      </c>
      <c r="T63" s="15">
        <f t="shared" si="8"/>
        <v>25</v>
      </c>
      <c r="U63" s="15">
        <f t="shared" si="9"/>
        <v>18</v>
      </c>
      <c r="V63" s="18">
        <f t="shared" si="10"/>
        <v>7</v>
      </c>
      <c r="W63" s="15">
        <f t="shared" si="11"/>
        <v>2</v>
      </c>
      <c r="X63" s="15">
        <v>40</v>
      </c>
      <c r="Y63" s="17">
        <f t="shared" si="12"/>
        <v>20</v>
      </c>
      <c r="Z63" s="17">
        <f t="shared" si="13"/>
        <v>20</v>
      </c>
      <c r="AA63" s="15">
        <f t="shared" si="14"/>
        <v>4</v>
      </c>
      <c r="AB63" s="15">
        <f t="shared" si="15"/>
        <v>37.5</v>
      </c>
      <c r="AC63" s="15">
        <f t="shared" si="16"/>
        <v>12.5</v>
      </c>
      <c r="AD63" s="15">
        <f t="shared" si="17"/>
        <v>50</v>
      </c>
      <c r="AE63" s="19">
        <f t="shared" si="18"/>
        <v>48</v>
      </c>
      <c r="AF63" s="20">
        <v>80</v>
      </c>
      <c r="AG63" s="20">
        <f t="shared" si="19"/>
        <v>4.8</v>
      </c>
      <c r="AH63" s="20">
        <f t="shared" ref="AH63:AH70" si="29">AF63</f>
        <v>80</v>
      </c>
      <c r="AI63" s="20">
        <f t="shared" si="21"/>
        <v>4</v>
      </c>
      <c r="AJ63" s="20">
        <f t="shared" si="22"/>
        <v>80</v>
      </c>
      <c r="AK63" s="20">
        <f t="shared" si="23"/>
        <v>4</v>
      </c>
      <c r="AL63" s="20">
        <f t="shared" si="24"/>
        <v>10.2666666666667</v>
      </c>
      <c r="AM63" s="20">
        <f t="shared" si="25"/>
        <v>23.0666666666667</v>
      </c>
    </row>
    <row r="64" ht="49.5" spans="3:39">
      <c r="C64" s="12">
        <v>59</v>
      </c>
      <c r="D64" s="13" t="s">
        <v>158</v>
      </c>
      <c r="E64" s="13" t="s">
        <v>159</v>
      </c>
      <c r="F64" s="14" t="s">
        <v>42</v>
      </c>
      <c r="G64" s="14" t="s">
        <v>42</v>
      </c>
      <c r="H64" s="13" t="s">
        <v>42</v>
      </c>
      <c r="I64" s="14">
        <v>35</v>
      </c>
      <c r="J64" s="15">
        <v>20</v>
      </c>
      <c r="K64" s="15">
        <f t="shared" si="0"/>
        <v>15</v>
      </c>
      <c r="L64" s="15">
        <f t="shared" si="1"/>
        <v>43.75</v>
      </c>
      <c r="M64" s="15">
        <f t="shared" si="2"/>
        <v>14.5833333333333</v>
      </c>
      <c r="N64" s="16">
        <f t="shared" si="3"/>
        <v>58.3333333333333</v>
      </c>
      <c r="O64" s="17">
        <f t="shared" si="4"/>
        <v>4.66666666666667</v>
      </c>
      <c r="P64" s="15">
        <v>38</v>
      </c>
      <c r="Q64" s="15">
        <f t="shared" si="5"/>
        <v>13</v>
      </c>
      <c r="R64" s="15">
        <f t="shared" si="6"/>
        <v>25</v>
      </c>
      <c r="S64" s="15">
        <f t="shared" si="7"/>
        <v>28</v>
      </c>
      <c r="T64" s="15">
        <f t="shared" si="8"/>
        <v>63.3333333333333</v>
      </c>
      <c r="U64" s="15">
        <f t="shared" si="9"/>
        <v>47</v>
      </c>
      <c r="V64" s="18">
        <f t="shared" si="10"/>
        <v>16.3333333333333</v>
      </c>
      <c r="W64" s="15">
        <f t="shared" si="11"/>
        <v>5.06666666666667</v>
      </c>
      <c r="X64" s="15">
        <v>60</v>
      </c>
      <c r="Y64" s="17">
        <f t="shared" si="12"/>
        <v>30</v>
      </c>
      <c r="Z64" s="17">
        <f t="shared" si="13"/>
        <v>30</v>
      </c>
      <c r="AA64" s="15">
        <f t="shared" si="14"/>
        <v>6</v>
      </c>
      <c r="AB64" s="15">
        <f t="shared" si="15"/>
        <v>56.25</v>
      </c>
      <c r="AC64" s="15">
        <f t="shared" si="16"/>
        <v>18.75</v>
      </c>
      <c r="AD64" s="15">
        <f t="shared" si="17"/>
        <v>75</v>
      </c>
      <c r="AE64" s="19">
        <f t="shared" si="18"/>
        <v>52.2</v>
      </c>
      <c r="AF64" s="20">
        <v>87</v>
      </c>
      <c r="AG64" s="20">
        <f t="shared" si="19"/>
        <v>5.22</v>
      </c>
      <c r="AH64" s="20">
        <f t="shared" si="29"/>
        <v>87</v>
      </c>
      <c r="AI64" s="20">
        <f t="shared" si="21"/>
        <v>4.35</v>
      </c>
      <c r="AJ64" s="20">
        <f t="shared" si="22"/>
        <v>87</v>
      </c>
      <c r="AK64" s="20">
        <f t="shared" si="23"/>
        <v>4.35</v>
      </c>
      <c r="AL64" s="20">
        <f t="shared" si="24"/>
        <v>15.7333333333333</v>
      </c>
      <c r="AM64" s="20">
        <f t="shared" si="25"/>
        <v>29.6533333333333</v>
      </c>
    </row>
    <row r="65" ht="33" spans="3:39">
      <c r="C65" s="12">
        <v>60</v>
      </c>
      <c r="D65" s="13" t="s">
        <v>160</v>
      </c>
      <c r="E65" s="13" t="s">
        <v>161</v>
      </c>
      <c r="F65" s="14" t="s">
        <v>42</v>
      </c>
      <c r="G65" s="14" t="s">
        <v>43</v>
      </c>
      <c r="H65" s="13" t="s">
        <v>43</v>
      </c>
      <c r="I65" s="14">
        <v>39</v>
      </c>
      <c r="J65" s="15">
        <v>30</v>
      </c>
      <c r="K65" s="15">
        <f t="shared" si="0"/>
        <v>9</v>
      </c>
      <c r="L65" s="15">
        <f t="shared" si="1"/>
        <v>48.75</v>
      </c>
      <c r="M65" s="15">
        <f t="shared" si="2"/>
        <v>16.25</v>
      </c>
      <c r="N65" s="16">
        <f t="shared" si="3"/>
        <v>65</v>
      </c>
      <c r="O65" s="17">
        <f t="shared" si="4"/>
        <v>5.2</v>
      </c>
      <c r="P65" s="15">
        <v>45</v>
      </c>
      <c r="Q65" s="15">
        <f t="shared" si="5"/>
        <v>15</v>
      </c>
      <c r="R65" s="15">
        <f t="shared" si="6"/>
        <v>30</v>
      </c>
      <c r="S65" s="15">
        <f t="shared" si="7"/>
        <v>24</v>
      </c>
      <c r="T65" s="15">
        <f t="shared" si="8"/>
        <v>75</v>
      </c>
      <c r="U65" s="15">
        <f t="shared" si="9"/>
        <v>56</v>
      </c>
      <c r="V65" s="18">
        <f t="shared" si="10"/>
        <v>19</v>
      </c>
      <c r="W65" s="15">
        <f t="shared" si="11"/>
        <v>6</v>
      </c>
      <c r="X65" s="15">
        <v>61</v>
      </c>
      <c r="Y65" s="17">
        <f t="shared" si="12"/>
        <v>30</v>
      </c>
      <c r="Z65" s="17">
        <f t="shared" si="13"/>
        <v>31</v>
      </c>
      <c r="AA65" s="15">
        <f t="shared" si="14"/>
        <v>6.1</v>
      </c>
      <c r="AB65" s="15">
        <f t="shared" si="15"/>
        <v>57.1875</v>
      </c>
      <c r="AC65" s="15">
        <f t="shared" si="16"/>
        <v>19.0625</v>
      </c>
      <c r="AD65" s="15">
        <f t="shared" si="17"/>
        <v>76.25</v>
      </c>
      <c r="AE65" s="19">
        <f t="shared" si="18"/>
        <v>52.8</v>
      </c>
      <c r="AF65" s="20">
        <v>88</v>
      </c>
      <c r="AG65" s="20">
        <f t="shared" si="19"/>
        <v>5.28</v>
      </c>
      <c r="AH65" s="20">
        <f t="shared" si="29"/>
        <v>88</v>
      </c>
      <c r="AI65" s="20">
        <f t="shared" si="21"/>
        <v>4.4</v>
      </c>
      <c r="AJ65" s="20">
        <f t="shared" si="22"/>
        <v>88</v>
      </c>
      <c r="AK65" s="20">
        <f t="shared" si="23"/>
        <v>4.4</v>
      </c>
      <c r="AL65" s="20">
        <f t="shared" si="24"/>
        <v>17.3</v>
      </c>
      <c r="AM65" s="20">
        <f t="shared" si="25"/>
        <v>31.38</v>
      </c>
    </row>
    <row r="66" ht="82.5" spans="3:39">
      <c r="C66" s="12">
        <v>61</v>
      </c>
      <c r="D66" s="13" t="s">
        <v>162</v>
      </c>
      <c r="E66" s="13" t="s">
        <v>163</v>
      </c>
      <c r="F66" s="14" t="s">
        <v>42</v>
      </c>
      <c r="G66" s="14" t="s">
        <v>43</v>
      </c>
      <c r="H66" s="13" t="s">
        <v>43</v>
      </c>
      <c r="I66" s="14">
        <v>44</v>
      </c>
      <c r="J66" s="15">
        <v>26</v>
      </c>
      <c r="K66" s="15">
        <f t="shared" si="0"/>
        <v>18</v>
      </c>
      <c r="L66" s="15">
        <f t="shared" si="1"/>
        <v>55</v>
      </c>
      <c r="M66" s="15">
        <f t="shared" si="2"/>
        <v>18.3333333333333</v>
      </c>
      <c r="N66" s="16">
        <f t="shared" si="3"/>
        <v>73.3333333333333</v>
      </c>
      <c r="O66" s="17">
        <f t="shared" si="4"/>
        <v>5.86666666666667</v>
      </c>
      <c r="P66" s="15">
        <v>53</v>
      </c>
      <c r="Q66" s="15">
        <f t="shared" si="5"/>
        <v>18</v>
      </c>
      <c r="R66" s="15">
        <f t="shared" si="6"/>
        <v>35</v>
      </c>
      <c r="S66" s="15">
        <f t="shared" si="7"/>
        <v>36</v>
      </c>
      <c r="T66" s="15">
        <f t="shared" si="8"/>
        <v>88.3333333333333</v>
      </c>
      <c r="U66" s="15">
        <f t="shared" si="9"/>
        <v>66</v>
      </c>
      <c r="V66" s="18">
        <f t="shared" si="10"/>
        <v>22.3333333333333</v>
      </c>
      <c r="W66" s="15">
        <f t="shared" si="11"/>
        <v>7.06666666666667</v>
      </c>
      <c r="X66" s="15">
        <v>60</v>
      </c>
      <c r="Y66" s="17">
        <f t="shared" si="12"/>
        <v>30</v>
      </c>
      <c r="Z66" s="17">
        <f t="shared" si="13"/>
        <v>30</v>
      </c>
      <c r="AA66" s="15">
        <f t="shared" si="14"/>
        <v>6</v>
      </c>
      <c r="AB66" s="15">
        <f t="shared" si="15"/>
        <v>56.25</v>
      </c>
      <c r="AC66" s="15">
        <f t="shared" si="16"/>
        <v>18.75</v>
      </c>
      <c r="AD66" s="15">
        <f t="shared" si="17"/>
        <v>75</v>
      </c>
      <c r="AE66" s="19">
        <f t="shared" si="18"/>
        <v>55.2</v>
      </c>
      <c r="AF66" s="20">
        <v>92</v>
      </c>
      <c r="AG66" s="20">
        <f t="shared" si="19"/>
        <v>5.52</v>
      </c>
      <c r="AH66" s="20">
        <f t="shared" si="29"/>
        <v>92</v>
      </c>
      <c r="AI66" s="20">
        <f t="shared" si="21"/>
        <v>4.6</v>
      </c>
      <c r="AJ66" s="20">
        <f t="shared" si="22"/>
        <v>92</v>
      </c>
      <c r="AK66" s="20">
        <f t="shared" si="23"/>
        <v>4.6</v>
      </c>
      <c r="AL66" s="20">
        <f t="shared" si="24"/>
        <v>18.9333333333333</v>
      </c>
      <c r="AM66" s="20">
        <f t="shared" si="25"/>
        <v>33.6533333333333</v>
      </c>
    </row>
    <row r="67" ht="49.5" spans="3:39">
      <c r="C67" s="12">
        <v>62</v>
      </c>
      <c r="D67" s="13" t="s">
        <v>164</v>
      </c>
      <c r="E67" s="13" t="s">
        <v>165</v>
      </c>
      <c r="F67" s="14" t="s">
        <v>42</v>
      </c>
      <c r="G67" s="14" t="s">
        <v>42</v>
      </c>
      <c r="H67" s="13" t="s">
        <v>42</v>
      </c>
      <c r="I67" s="14">
        <v>53</v>
      </c>
      <c r="J67" s="15">
        <v>35</v>
      </c>
      <c r="K67" s="15">
        <f t="shared" si="0"/>
        <v>18</v>
      </c>
      <c r="L67" s="15">
        <f t="shared" si="1"/>
        <v>66.25</v>
      </c>
      <c r="M67" s="15">
        <f t="shared" si="2"/>
        <v>22.0833333333333</v>
      </c>
      <c r="N67" s="16">
        <f t="shared" si="3"/>
        <v>88.3333333333333</v>
      </c>
      <c r="O67" s="17">
        <f t="shared" si="4"/>
        <v>7.06666666666667</v>
      </c>
      <c r="P67" s="15">
        <v>43</v>
      </c>
      <c r="Q67" s="15">
        <f t="shared" si="5"/>
        <v>15</v>
      </c>
      <c r="R67" s="15">
        <f t="shared" si="6"/>
        <v>28</v>
      </c>
      <c r="S67" s="15">
        <f t="shared" si="7"/>
        <v>33</v>
      </c>
      <c r="T67" s="15">
        <f t="shared" si="8"/>
        <v>71.6666666666667</v>
      </c>
      <c r="U67" s="15">
        <f t="shared" si="9"/>
        <v>53</v>
      </c>
      <c r="V67" s="18">
        <f t="shared" si="10"/>
        <v>18.6666666666667</v>
      </c>
      <c r="W67" s="15">
        <f t="shared" si="11"/>
        <v>5.73333333333333</v>
      </c>
      <c r="X67" s="15">
        <v>69</v>
      </c>
      <c r="Y67" s="17">
        <f t="shared" si="12"/>
        <v>34</v>
      </c>
      <c r="Z67" s="17">
        <f t="shared" si="13"/>
        <v>35</v>
      </c>
      <c r="AA67" s="15">
        <f t="shared" si="14"/>
        <v>6.9</v>
      </c>
      <c r="AB67" s="15">
        <f t="shared" si="15"/>
        <v>64.6875</v>
      </c>
      <c r="AC67" s="15">
        <f t="shared" si="16"/>
        <v>21.5625</v>
      </c>
      <c r="AD67" s="15">
        <f t="shared" si="17"/>
        <v>86.25</v>
      </c>
      <c r="AE67" s="19">
        <f t="shared" si="18"/>
        <v>56.4</v>
      </c>
      <c r="AF67" s="20">
        <v>94</v>
      </c>
      <c r="AG67" s="20">
        <f t="shared" si="19"/>
        <v>5.64</v>
      </c>
      <c r="AH67" s="20">
        <f t="shared" si="29"/>
        <v>94</v>
      </c>
      <c r="AI67" s="20">
        <f t="shared" si="21"/>
        <v>4.7</v>
      </c>
      <c r="AJ67" s="20">
        <f t="shared" si="22"/>
        <v>94</v>
      </c>
      <c r="AK67" s="20">
        <f t="shared" si="23"/>
        <v>4.7</v>
      </c>
      <c r="AL67" s="20">
        <f t="shared" si="24"/>
        <v>19.7</v>
      </c>
      <c r="AM67" s="20">
        <f t="shared" si="25"/>
        <v>34.74</v>
      </c>
    </row>
    <row r="68" ht="33" spans="3:39">
      <c r="C68" s="12">
        <v>63</v>
      </c>
      <c r="D68" s="13" t="s">
        <v>166</v>
      </c>
      <c r="E68" s="13" t="s">
        <v>167</v>
      </c>
      <c r="F68" s="14" t="s">
        <v>42</v>
      </c>
      <c r="G68" s="14" t="s">
        <v>43</v>
      </c>
      <c r="H68" s="13" t="s">
        <v>43</v>
      </c>
      <c r="I68" s="14">
        <v>30</v>
      </c>
      <c r="J68" s="15">
        <v>16</v>
      </c>
      <c r="K68" s="15">
        <f t="shared" si="0"/>
        <v>14</v>
      </c>
      <c r="L68" s="15">
        <f t="shared" si="1"/>
        <v>37.5</v>
      </c>
      <c r="M68" s="15">
        <f t="shared" si="2"/>
        <v>12.5</v>
      </c>
      <c r="N68" s="16">
        <f t="shared" si="3"/>
        <v>50</v>
      </c>
      <c r="O68" s="17">
        <f t="shared" si="4"/>
        <v>4</v>
      </c>
      <c r="P68" s="15">
        <v>34</v>
      </c>
      <c r="Q68" s="15">
        <f t="shared" si="5"/>
        <v>12</v>
      </c>
      <c r="R68" s="15">
        <f t="shared" si="6"/>
        <v>22</v>
      </c>
      <c r="S68" s="15">
        <f t="shared" si="7"/>
        <v>26</v>
      </c>
      <c r="T68" s="15">
        <f t="shared" si="8"/>
        <v>56.6666666666667</v>
      </c>
      <c r="U68" s="15">
        <f t="shared" si="9"/>
        <v>42</v>
      </c>
      <c r="V68" s="18">
        <f t="shared" si="10"/>
        <v>14.6666666666667</v>
      </c>
      <c r="W68" s="15">
        <f t="shared" si="11"/>
        <v>4.53333333333333</v>
      </c>
      <c r="X68" s="15">
        <v>44</v>
      </c>
      <c r="Y68" s="17">
        <f t="shared" si="12"/>
        <v>22</v>
      </c>
      <c r="Z68" s="17">
        <f t="shared" si="13"/>
        <v>22</v>
      </c>
      <c r="AA68" s="15">
        <f t="shared" si="14"/>
        <v>4.4</v>
      </c>
      <c r="AB68" s="15">
        <f t="shared" si="15"/>
        <v>41.25</v>
      </c>
      <c r="AC68" s="15">
        <f t="shared" si="16"/>
        <v>13.75</v>
      </c>
      <c r="AD68" s="15">
        <f t="shared" si="17"/>
        <v>55</v>
      </c>
      <c r="AE68" s="19">
        <f t="shared" si="18"/>
        <v>51.6</v>
      </c>
      <c r="AF68" s="20">
        <v>86</v>
      </c>
      <c r="AG68" s="20">
        <f t="shared" si="19"/>
        <v>5.16</v>
      </c>
      <c r="AH68" s="20">
        <f t="shared" si="29"/>
        <v>86</v>
      </c>
      <c r="AI68" s="20">
        <f t="shared" si="21"/>
        <v>4.3</v>
      </c>
      <c r="AJ68" s="20">
        <f t="shared" si="22"/>
        <v>86</v>
      </c>
      <c r="AK68" s="20">
        <f t="shared" si="23"/>
        <v>4.3</v>
      </c>
      <c r="AL68" s="20">
        <f t="shared" si="24"/>
        <v>12.9333333333333</v>
      </c>
      <c r="AM68" s="20">
        <f t="shared" si="25"/>
        <v>26.6933333333333</v>
      </c>
    </row>
    <row r="69" ht="33" spans="3:39">
      <c r="C69" s="12">
        <v>64</v>
      </c>
      <c r="D69" s="13" t="s">
        <v>168</v>
      </c>
      <c r="E69" s="13" t="s">
        <v>169</v>
      </c>
      <c r="F69" s="14" t="s">
        <v>42</v>
      </c>
      <c r="G69" s="14" t="s">
        <v>43</v>
      </c>
      <c r="H69" s="13" t="s">
        <v>43</v>
      </c>
      <c r="I69" s="14">
        <v>30</v>
      </c>
      <c r="J69" s="15">
        <v>24</v>
      </c>
      <c r="K69" s="15">
        <f t="shared" si="0"/>
        <v>6</v>
      </c>
      <c r="L69" s="15">
        <f t="shared" si="1"/>
        <v>37.5</v>
      </c>
      <c r="M69" s="15">
        <f t="shared" si="2"/>
        <v>12.5</v>
      </c>
      <c r="N69" s="16">
        <f t="shared" si="3"/>
        <v>50</v>
      </c>
      <c r="O69" s="17">
        <f t="shared" si="4"/>
        <v>4</v>
      </c>
      <c r="P69" s="15">
        <v>32</v>
      </c>
      <c r="Q69" s="15">
        <f t="shared" si="5"/>
        <v>11</v>
      </c>
      <c r="R69" s="15">
        <f t="shared" si="6"/>
        <v>21</v>
      </c>
      <c r="S69" s="15">
        <f t="shared" si="7"/>
        <v>17</v>
      </c>
      <c r="T69" s="15">
        <f t="shared" si="8"/>
        <v>53.3333333333333</v>
      </c>
      <c r="U69" s="15">
        <f t="shared" si="9"/>
        <v>40</v>
      </c>
      <c r="V69" s="18">
        <f t="shared" si="10"/>
        <v>13.3333333333333</v>
      </c>
      <c r="W69" s="15">
        <f t="shared" si="11"/>
        <v>4.26666666666667</v>
      </c>
      <c r="X69" s="15">
        <v>52</v>
      </c>
      <c r="Y69" s="17">
        <f t="shared" si="12"/>
        <v>26</v>
      </c>
      <c r="Z69" s="17">
        <f t="shared" si="13"/>
        <v>26</v>
      </c>
      <c r="AA69" s="15">
        <f t="shared" si="14"/>
        <v>5.2</v>
      </c>
      <c r="AB69" s="15">
        <f t="shared" si="15"/>
        <v>48.75</v>
      </c>
      <c r="AC69" s="15">
        <f t="shared" si="16"/>
        <v>16.25</v>
      </c>
      <c r="AD69" s="15">
        <f t="shared" si="17"/>
        <v>65</v>
      </c>
      <c r="AE69" s="19">
        <f t="shared" si="18"/>
        <v>50.4</v>
      </c>
      <c r="AF69" s="20">
        <v>84</v>
      </c>
      <c r="AG69" s="20">
        <f t="shared" si="19"/>
        <v>5.04</v>
      </c>
      <c r="AH69" s="20">
        <f t="shared" si="29"/>
        <v>84</v>
      </c>
      <c r="AI69" s="20">
        <f t="shared" si="21"/>
        <v>4.2</v>
      </c>
      <c r="AJ69" s="20">
        <f t="shared" si="22"/>
        <v>84</v>
      </c>
      <c r="AK69" s="20">
        <f t="shared" si="23"/>
        <v>4.2</v>
      </c>
      <c r="AL69" s="20">
        <f t="shared" si="24"/>
        <v>13.4666666666667</v>
      </c>
      <c r="AM69" s="20">
        <f t="shared" si="25"/>
        <v>26.9066666666667</v>
      </c>
    </row>
    <row r="70" ht="33" spans="3:39">
      <c r="C70" s="12">
        <v>65</v>
      </c>
      <c r="D70" s="13" t="s">
        <v>170</v>
      </c>
      <c r="E70" s="13" t="s">
        <v>171</v>
      </c>
      <c r="F70" s="14" t="s">
        <v>43</v>
      </c>
      <c r="G70" s="14" t="s">
        <v>42</v>
      </c>
      <c r="H70" s="13" t="s">
        <v>42</v>
      </c>
      <c r="I70" s="14">
        <v>24</v>
      </c>
      <c r="J70" s="15">
        <v>18</v>
      </c>
      <c r="K70" s="15">
        <f>I70-J70</f>
        <v>6</v>
      </c>
      <c r="L70" s="15">
        <f>I70/60*75</f>
        <v>30</v>
      </c>
      <c r="M70" s="15">
        <f>I70/60*25</f>
        <v>10</v>
      </c>
      <c r="N70" s="16">
        <f>I70/60*100</f>
        <v>40</v>
      </c>
      <c r="O70" s="17">
        <f>N70/100*8</f>
        <v>3.2</v>
      </c>
      <c r="P70" s="15">
        <v>20</v>
      </c>
      <c r="Q70" s="15">
        <f>P70-R70</f>
        <v>7</v>
      </c>
      <c r="R70" s="15">
        <f>FLOOR(P70/60*40,1)</f>
        <v>13</v>
      </c>
      <c r="S70" s="15">
        <f>K70+Q70</f>
        <v>13</v>
      </c>
      <c r="T70" s="15">
        <f>P70/60*100</f>
        <v>33.3333333333333</v>
      </c>
      <c r="U70" s="15">
        <f>FLOOR(T70/100*75,1)</f>
        <v>25</v>
      </c>
      <c r="V70" s="18">
        <f>T70-U70</f>
        <v>8.33333333333333</v>
      </c>
      <c r="W70" s="15">
        <f>T70/100*8</f>
        <v>2.66666666666667</v>
      </c>
      <c r="X70" s="15">
        <v>40</v>
      </c>
      <c r="Y70" s="17">
        <f>FLOOR(AD70/100*40,1)</f>
        <v>20</v>
      </c>
      <c r="Z70" s="17">
        <f>X70-Y70</f>
        <v>20</v>
      </c>
      <c r="AA70" s="15">
        <f>X70/80*8</f>
        <v>4</v>
      </c>
      <c r="AB70" s="15">
        <f>X70/80*75</f>
        <v>37.5</v>
      </c>
      <c r="AC70" s="15">
        <f>AD70-AB70</f>
        <v>12.5</v>
      </c>
      <c r="AD70" s="15">
        <f>X70/80*100</f>
        <v>50</v>
      </c>
      <c r="AE70" s="19">
        <f>AF70/100*60</f>
        <v>51</v>
      </c>
      <c r="AF70" s="20">
        <v>85</v>
      </c>
      <c r="AG70" s="20">
        <f>AF70/100*6</f>
        <v>5.1</v>
      </c>
      <c r="AH70" s="20">
        <f t="shared" si="29"/>
        <v>85</v>
      </c>
      <c r="AI70" s="20">
        <f>AH70/100*5</f>
        <v>4.25</v>
      </c>
      <c r="AJ70" s="20">
        <f>AF70</f>
        <v>85</v>
      </c>
      <c r="AK70" s="20">
        <f>AJ70/100*5</f>
        <v>4.25</v>
      </c>
      <c r="AL70" s="20">
        <f>O70+W70+AA70</f>
        <v>9.86666666666667</v>
      </c>
      <c r="AM70" s="20">
        <f>AL70+AG70+AI70+AK70</f>
        <v>23.4666666666667</v>
      </c>
    </row>
  </sheetData>
  <mergeCells count="5">
    <mergeCell ref="C1:AM1"/>
    <mergeCell ref="C2:AM2"/>
    <mergeCell ref="C3:AM3"/>
    <mergeCell ref="C4:S4"/>
    <mergeCell ref="AI4:AM4"/>
  </mergeCells>
  <conditionalFormatting sqref="N6:N70">
    <cfRule type="cellIs" dxfId="0" priority="1" operator="lessThan">
      <formula>50</formula>
    </cfRule>
  </conditionalFormatting>
  <conditionalFormatting sqref="T6:T70">
    <cfRule type="cellIs" dxfId="1" priority="2" operator="lessThan">
      <formula>50</formula>
    </cfRule>
  </conditionalFormatting>
  <conditionalFormatting sqref="AD6:AD70">
    <cfRule type="cellIs" dxfId="2" priority="3" operator="lessThan">
      <formula>50</formula>
    </cfRule>
  </conditionalFormatting>
  <conditionalFormatting sqref="AM6:AM70">
    <cfRule type="cellIs" dxfId="3" priority="5" operator="greaterThanOrEqual">
      <formula>35</formula>
    </cfRule>
    <cfRule type="cellIs" dxfId="2" priority="4" operator="lessThan">
      <formula>25</formula>
    </cfRule>
  </conditionalFormatting>
  <hyperlinks>
    <hyperlink ref="C5" r:id="rId1" display="S.No.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kubod</dc:creator>
  <cp:lastModifiedBy>WPS_1775573983</cp:lastModifiedBy>
  <dcterms:created xsi:type="dcterms:W3CDTF">2026-05-15T09:03:45Z</dcterms:created>
  <dcterms:modified xsi:type="dcterms:W3CDTF">2026-05-15T09:04:56Z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5BFC378F5CF944D3AD2A278AF0B3170F_11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